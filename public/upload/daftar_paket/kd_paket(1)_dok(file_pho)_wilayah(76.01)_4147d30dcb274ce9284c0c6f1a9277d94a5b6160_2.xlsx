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F:\USAHA KONSULTAN CV.TOHA PRATAMA\DATA ADMINISTRASI\ADMINISTRASI 2024\KAB.PASANGKAYU\DINAS PU\PENAWARAN DESAIGN LONG SEGMEN\"/>
    </mc:Choice>
  </mc:AlternateContent>
  <xr:revisionPtr revIDLastSave="0" documentId="13_ncr:1_{C420273E-D4F3-4631-9B0B-2053FED1D852}" xr6:coauthVersionLast="47" xr6:coauthVersionMax="47" xr10:uidLastSave="{00000000-0000-0000-0000-000000000000}"/>
  <bookViews>
    <workbookView xWindow="-108" yWindow="-108" windowWidth="23256" windowHeight="12576" tabRatio="908" firstSheet="2" activeTab="2" xr2:uid="{00000000-000D-0000-FFFF-FFFF00000000}"/>
  </bookViews>
  <sheets>
    <sheet name="Daftar Pengalaman Kerja" sheetId="1" state="hidden" r:id="rId1"/>
    <sheet name="Uraian Pengalaman" sheetId="2" state="hidden" r:id="rId2"/>
    <sheet name="jadwal pelaksanaan" sheetId="3" r:id="rId3"/>
    <sheet name="komposisi tim" sheetId="4" state="hidden" r:id="rId4"/>
    <sheet name="Jadwal Penugasan" sheetId="5" state="hidden" r:id="rId5"/>
    <sheet name="riwayat hidup personil" sheetId="6" state="hidden" r:id="rId6"/>
    <sheet name="pernyataan kesediaan" sheetId="7" state="hidden" r:id="rId7"/>
    <sheet name="S. Pnwrn Biaya" sheetId="8" state="hidden" r:id="rId8"/>
    <sheet name="Rekapitulasi Pnwrn Biaya" sheetId="9" state="hidden" r:id="rId9"/>
    <sheet name="R. Biaya Langsung Personil" sheetId="10" state="hidden" r:id="rId10"/>
    <sheet name="R. Biaya Langsung Non-Personil" sheetId="11" state="hidden" r:id="rId11"/>
  </sheets>
  <definedNames>
    <definedName name="_ftn1" localSheetId="5">'riwayat hidup personil'!#REF!</definedName>
    <definedName name="_ftnref1" localSheetId="5">'riwayat hidup personil'!$B$14</definedName>
    <definedName name="_xlnm.Print_Area" localSheetId="0">'Daftar Pengalaman Kerja'!$A$1:$I$81</definedName>
    <definedName name="_xlnm.Print_Area" localSheetId="2">'jadwal pelaksanaan'!$A$1:$L$42</definedName>
    <definedName name="_xlnm.Print_Area" localSheetId="4">'Jadwal Penugasan'!$A$1:$J$25</definedName>
    <definedName name="_xlnm.Print_Area" localSheetId="3">'komposisi tim'!$A$1:$H$32</definedName>
    <definedName name="_xlnm.Print_Area" localSheetId="6">'pernyataan kesediaan'!$A$1:$O$183</definedName>
    <definedName name="_xlnm.Print_Area" localSheetId="10">'R. Biaya Langsung Non-Personil'!$A$1:$F$34</definedName>
    <definedName name="_xlnm.Print_Area" localSheetId="9">'R. Biaya Langsung Personil'!$A$1:$E$34</definedName>
    <definedName name="_xlnm.Print_Area" localSheetId="8">'Rekapitulasi Pnwrn Biaya'!$A$1:$C$15</definedName>
    <definedName name="_xlnm.Print_Area" localSheetId="5">'riwayat hidup personil'!$A$2:$BT$125</definedName>
    <definedName name="_xlnm.Print_Area" localSheetId="7">'S. Pnwrn Biaya'!$A$1:$P$35</definedName>
    <definedName name="_xlnm.Print_Area" localSheetId="1">'Uraian Pengalaman'!$A$1:$P$28,'Uraian Pengalaman'!#REF!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6" i="3" l="1"/>
  <c r="B13" i="4" l="1"/>
  <c r="D4" i="7"/>
  <c r="B9" i="4" s="1"/>
  <c r="G11" i="5"/>
  <c r="B10" i="5"/>
  <c r="B9" i="5"/>
  <c r="B8" i="5"/>
  <c r="J61" i="7"/>
  <c r="AP11" i="6" l="1"/>
  <c r="AP4" i="6"/>
  <c r="AP6" i="6"/>
  <c r="F49" i="6" l="1"/>
  <c r="F64" i="6" s="1"/>
  <c r="F19" i="6"/>
  <c r="R19" i="6" s="1"/>
  <c r="AD19" i="6" s="1"/>
  <c r="AP19" i="6" s="1"/>
  <c r="BB19" i="6" s="1"/>
  <c r="B7" i="5"/>
  <c r="H18" i="5"/>
  <c r="F24" i="5"/>
  <c r="F25" i="5"/>
  <c r="F19" i="5"/>
  <c r="BE106" i="6"/>
  <c r="BB13" i="6"/>
  <c r="C20" i="4"/>
  <c r="N50" i="6"/>
  <c r="Z50" i="6" s="1"/>
  <c r="N35" i="6"/>
  <c r="Z35" i="6" s="1"/>
  <c r="AA35" i="6"/>
  <c r="R11" i="6"/>
  <c r="AS106" i="6"/>
  <c r="AP90" i="6"/>
  <c r="BB90" i="6" s="1"/>
  <c r="AG106" i="6"/>
  <c r="AD28" i="6"/>
  <c r="AP28" i="6" s="1"/>
  <c r="BB28" i="6" s="1"/>
  <c r="U106" i="6"/>
  <c r="R43" i="6"/>
  <c r="AD43" i="6" s="1"/>
  <c r="AP43" i="6" s="1"/>
  <c r="BB43" i="6" s="1"/>
  <c r="F71" i="6"/>
  <c r="F86" i="6" s="1"/>
  <c r="F57" i="6"/>
  <c r="F43" i="6"/>
  <c r="F58" i="6" s="1"/>
  <c r="F73" i="6" s="1"/>
  <c r="F88" i="6" s="1"/>
  <c r="A115" i="6"/>
  <c r="M115" i="6" s="1"/>
  <c r="Y115" i="6" s="1"/>
  <c r="AK115" i="6" s="1"/>
  <c r="AW115" i="6" s="1"/>
  <c r="BI115" i="6" s="1"/>
  <c r="A114" i="6"/>
  <c r="M114" i="6" s="1"/>
  <c r="Y114" i="6" s="1"/>
  <c r="AK114" i="6" s="1"/>
  <c r="AW114" i="6" s="1"/>
  <c r="BI114" i="6" s="1"/>
  <c r="A109" i="6"/>
  <c r="M109" i="6" s="1"/>
  <c r="Y109" i="6" s="1"/>
  <c r="AK109" i="6" s="1"/>
  <c r="AW109" i="6" s="1"/>
  <c r="BI109" i="6" s="1"/>
  <c r="C34" i="7"/>
  <c r="C71" i="7" s="1"/>
  <c r="C108" i="7" s="1"/>
  <c r="C145" i="7" s="1"/>
  <c r="C182" i="7" s="1"/>
  <c r="M35" i="8" s="1"/>
  <c r="C107" i="7"/>
  <c r="C144" i="7" s="1"/>
  <c r="C181" i="7" s="1"/>
  <c r="M34" i="8" s="1"/>
  <c r="C102" i="7"/>
  <c r="C139" i="7" s="1"/>
  <c r="C176" i="7" s="1"/>
  <c r="M29" i="8" s="1"/>
  <c r="AP26" i="6"/>
  <c r="AP41" i="6" s="1"/>
  <c r="AP56" i="6" s="1"/>
  <c r="AP71" i="6" s="1"/>
  <c r="AP86" i="6" s="1"/>
  <c r="BB86" i="6" s="1"/>
  <c r="AN30" i="6"/>
  <c r="AB75" i="6"/>
  <c r="AN75" i="6" s="1"/>
  <c r="AB60" i="6"/>
  <c r="AN60" i="6" s="1"/>
  <c r="AB45" i="6"/>
  <c r="AN45" i="6" s="1"/>
  <c r="AD26" i="6"/>
  <c r="AD41" i="6" s="1"/>
  <c r="AD56" i="6" s="1"/>
  <c r="AD71" i="6" s="1"/>
  <c r="AD86" i="6" s="1"/>
  <c r="AD27" i="6"/>
  <c r="AP27" i="6" s="1"/>
  <c r="BB27" i="6" s="1"/>
  <c r="R47" i="6"/>
  <c r="AD47" i="6" s="1"/>
  <c r="AP47" i="6" s="1"/>
  <c r="BB47" i="6" s="1"/>
  <c r="R48" i="6"/>
  <c r="AD48" i="6" s="1"/>
  <c r="AP48" i="6" s="1"/>
  <c r="BB48" i="6" s="1"/>
  <c r="R49" i="6"/>
  <c r="AD49" i="6" s="1"/>
  <c r="AP49" i="6" s="1"/>
  <c r="BB49" i="6" s="1"/>
  <c r="R55" i="6"/>
  <c r="AD55" i="6" s="1"/>
  <c r="AP55" i="6" s="1"/>
  <c r="BB55" i="6" s="1"/>
  <c r="R61" i="6"/>
  <c r="AD61" i="6" s="1"/>
  <c r="AP61" i="6" s="1"/>
  <c r="BB61" i="6" s="1"/>
  <c r="R62" i="6"/>
  <c r="AD62" i="6" s="1"/>
  <c r="AP62" i="6" s="1"/>
  <c r="BB62" i="6" s="1"/>
  <c r="R63" i="6"/>
  <c r="AD63" i="6" s="1"/>
  <c r="AP63" i="6" s="1"/>
  <c r="BB63" i="6" s="1"/>
  <c r="R70" i="6"/>
  <c r="AD70" i="6" s="1"/>
  <c r="AP70" i="6" s="1"/>
  <c r="BB70" i="6" s="1"/>
  <c r="R76" i="6"/>
  <c r="AD76" i="6" s="1"/>
  <c r="AP76" i="6" s="1"/>
  <c r="BB76" i="6" s="1"/>
  <c r="R77" i="6"/>
  <c r="AD77" i="6" s="1"/>
  <c r="AP77" i="6" s="1"/>
  <c r="BB77" i="6" s="1"/>
  <c r="R78" i="6"/>
  <c r="AD78" i="6" s="1"/>
  <c r="AP78" i="6" s="1"/>
  <c r="BB78" i="6" s="1"/>
  <c r="R85" i="6"/>
  <c r="AD85" i="6" s="1"/>
  <c r="AP85" i="6" s="1"/>
  <c r="BB85" i="6" s="1"/>
  <c r="R46" i="6"/>
  <c r="AD46" i="6" s="1"/>
  <c r="AP46" i="6" s="1"/>
  <c r="BB46" i="6" s="1"/>
  <c r="R42" i="6"/>
  <c r="AD42" i="6" s="1"/>
  <c r="AP42" i="6" s="1"/>
  <c r="BB42" i="6" s="1"/>
  <c r="R41" i="6"/>
  <c r="R56" i="6" s="1"/>
  <c r="R71" i="6" s="1"/>
  <c r="R86" i="6" s="1"/>
  <c r="R32" i="6"/>
  <c r="AD32" i="6" s="1"/>
  <c r="AP32" i="6" s="1"/>
  <c r="BB32" i="6" s="1"/>
  <c r="R33" i="6"/>
  <c r="AD33" i="6" s="1"/>
  <c r="AP33" i="6" s="1"/>
  <c r="BB33" i="6" s="1"/>
  <c r="R34" i="6"/>
  <c r="AD34" i="6" s="1"/>
  <c r="AP34" i="6" s="1"/>
  <c r="BB34" i="6" s="1"/>
  <c r="R40" i="6"/>
  <c r="AD40" i="6" s="1"/>
  <c r="AP40" i="6" s="1"/>
  <c r="BB40" i="6" s="1"/>
  <c r="R31" i="6"/>
  <c r="AD31" i="6" s="1"/>
  <c r="AP31" i="6" s="1"/>
  <c r="BB31" i="6" s="1"/>
  <c r="R18" i="6"/>
  <c r="AD18" i="6" s="1"/>
  <c r="AP18" i="6" s="1"/>
  <c r="BB18" i="6" s="1"/>
  <c r="R25" i="6"/>
  <c r="AD25" i="6" s="1"/>
  <c r="AP25" i="6" s="1"/>
  <c r="BB25" i="6" s="1"/>
  <c r="R17" i="6"/>
  <c r="AD17" i="6" s="1"/>
  <c r="AP17" i="6" s="1"/>
  <c r="BB17" i="6" s="1"/>
  <c r="R16" i="6"/>
  <c r="AD16" i="6" s="1"/>
  <c r="AP16" i="6" s="1"/>
  <c r="BB16" i="6" s="1"/>
  <c r="R64" i="6" l="1"/>
  <c r="AD64" i="6" s="1"/>
  <c r="AP64" i="6" s="1"/>
  <c r="BB64" i="6" s="1"/>
  <c r="F79" i="6"/>
  <c r="R79" i="6" s="1"/>
  <c r="AD79" i="6" s="1"/>
  <c r="AP79" i="6" s="1"/>
  <c r="BB79" i="6" s="1"/>
  <c r="BB71" i="6"/>
  <c r="C29" i="4"/>
  <c r="C30" i="4" s="1"/>
  <c r="C31" i="4" s="1"/>
  <c r="C21" i="4"/>
  <c r="C22" i="4" s="1"/>
  <c r="BB26" i="6"/>
  <c r="BB41" i="6"/>
  <c r="BB56" i="6"/>
  <c r="R58" i="6"/>
  <c r="R57" i="6"/>
  <c r="AD57" i="6" s="1"/>
  <c r="AP57" i="6" s="1"/>
  <c r="BB57" i="6" s="1"/>
  <c r="BQ100" i="6"/>
  <c r="I100" i="6"/>
  <c r="U100" i="6" s="1"/>
  <c r="AG100" i="6" s="1"/>
  <c r="AS100" i="6" s="1"/>
  <c r="BE100" i="6" s="1"/>
  <c r="R72" i="6" l="1"/>
  <c r="AD72" i="6" s="1"/>
  <c r="AP72" i="6" s="1"/>
  <c r="BB72" i="6" s="1"/>
  <c r="R73" i="6"/>
  <c r="AD58" i="6"/>
  <c r="AP58" i="6" s="1"/>
  <c r="BB58" i="6" s="1"/>
  <c r="R87" i="6" l="1"/>
  <c r="AD87" i="6" s="1"/>
  <c r="AP87" i="6" s="1"/>
  <c r="BB87" i="6" s="1"/>
  <c r="AD73" i="6"/>
  <c r="AP73" i="6" s="1"/>
  <c r="BB73" i="6" s="1"/>
  <c r="R88" i="6"/>
  <c r="AD88" i="6" s="1"/>
  <c r="AP88" i="6" s="1"/>
  <c r="BB88" i="6" s="1"/>
</calcChain>
</file>

<file path=xl/sharedStrings.xml><?xml version="1.0" encoding="utf-8"?>
<sst xmlns="http://schemas.openxmlformats.org/spreadsheetml/2006/main" count="2188" uniqueCount="362">
  <si>
    <t>No.</t>
  </si>
  <si>
    <t>Nama Paket Pekerjaan</t>
  </si>
  <si>
    <t>Lingkup Layanan</t>
  </si>
  <si>
    <t xml:space="preserve">Periode </t>
  </si>
  <si>
    <t>Orang Bulan</t>
  </si>
  <si>
    <t>Nilai Kontrak</t>
  </si>
  <si>
    <t>Mitra               Keja</t>
  </si>
  <si>
    <t>Pengguna Jasa/                 Sumber Dana</t>
  </si>
  <si>
    <t>Pasangkayu,      April 2012</t>
  </si>
  <si>
    <t>Direktur</t>
  </si>
  <si>
    <t>Daftar Pengalaman Kerja Sejenis 10 (Sepuluh) Tahun Terakhir</t>
  </si>
  <si>
    <t>3.</t>
  </si>
  <si>
    <t>1.</t>
  </si>
  <si>
    <t>2.</t>
  </si>
  <si>
    <t>4.</t>
  </si>
  <si>
    <t>5.</t>
  </si>
  <si>
    <t>6.</t>
  </si>
  <si>
    <t>7.</t>
  </si>
  <si>
    <t>8.</t>
  </si>
  <si>
    <t>Pengguna jasa</t>
  </si>
  <si>
    <t>Lingkup Produk Utama</t>
  </si>
  <si>
    <t>Lokasi Proyek</t>
  </si>
  <si>
    <t>No. Kontrak</t>
  </si>
  <si>
    <t>Waktu Pelaksanaan</t>
  </si>
  <si>
    <t>Tenaga Ahli Asing</t>
  </si>
  <si>
    <t>Tenaga Ahli Indonesia</t>
  </si>
  <si>
    <t>Tenaga ahli tetap yang terlibat :</t>
  </si>
  <si>
    <t>Posisi</t>
  </si>
  <si>
    <t>a.</t>
  </si>
  <si>
    <t>b.</t>
  </si>
  <si>
    <t>c.</t>
  </si>
  <si>
    <t>d.</t>
  </si>
  <si>
    <t>e.</t>
  </si>
  <si>
    <t>Keahlian</t>
  </si>
  <si>
    <t>Jumlah Orang Bulan</t>
  </si>
  <si>
    <t>:</t>
  </si>
  <si>
    <t>Kegiatan</t>
  </si>
  <si>
    <t>I</t>
  </si>
  <si>
    <t>II</t>
  </si>
  <si>
    <t>III</t>
  </si>
  <si>
    <t>IV</t>
  </si>
  <si>
    <t>Keterangan</t>
  </si>
  <si>
    <t>Jadwal Pelaksanaan Pekerjaan</t>
  </si>
  <si>
    <t>Komposisi Tim dan Penugasan (Daftar Personil)</t>
  </si>
  <si>
    <t>Nama Personil</t>
  </si>
  <si>
    <t>Nama           Personil</t>
  </si>
  <si>
    <t>Perusahaan</t>
  </si>
  <si>
    <t>Tenaga Ahli Lokal/Asing</t>
  </si>
  <si>
    <t>Lingkup     Keahlian</t>
  </si>
  <si>
    <t>Posisi      Diusulkan</t>
  </si>
  <si>
    <t>Jumlah        Orang         Bulan</t>
  </si>
  <si>
    <t>Tenaga Ahli</t>
  </si>
  <si>
    <t>(Personil Inti)</t>
  </si>
  <si>
    <t>(Personil Lainnya)</t>
  </si>
  <si>
    <t>Jadwal Penugasan Tenaga Ahli</t>
  </si>
  <si>
    <t>Masukan Personil</t>
  </si>
  <si>
    <t>Nasional</t>
  </si>
  <si>
    <t>Total</t>
  </si>
  <si>
    <t>Masukan Penuh - Waktu</t>
  </si>
  <si>
    <t>Masukan Paruh - Waktu</t>
  </si>
  <si>
    <t>Posisi yang diusulkan</t>
  </si>
  <si>
    <t>Nama Perusahaan</t>
  </si>
  <si>
    <t>Tempat/Tanggal Lahir</t>
  </si>
  <si>
    <t xml:space="preserve">Pendidikan  (Lembaga pendidikan, </t>
  </si>
  <si>
    <t xml:space="preserve"> </t>
  </si>
  <si>
    <t xml:space="preserve">tempat dan tahun tamat belajar, </t>
  </si>
  <si>
    <t>dilampirkan rekaman ijazah )</t>
  </si>
  <si>
    <t>Pendidikan Non Formal</t>
  </si>
  <si>
    <t>Penguasaan Bahasa Inggris</t>
  </si>
  <si>
    <t xml:space="preserve">    dan bahasa Indonesia</t>
  </si>
  <si>
    <t xml:space="preserve">    Tahun  ini ____</t>
  </si>
  <si>
    <t>Nama Proyek</t>
  </si>
  <si>
    <t>dan Bahasa Indonesia</t>
  </si>
  <si>
    <t>b.  Lokasi Proyek</t>
  </si>
  <si>
    <t>c.   Pengguna Jasa</t>
  </si>
  <si>
    <t>d.  Nama Perusahaan</t>
  </si>
  <si>
    <t>e.   Uraian Tugas</t>
  </si>
  <si>
    <t>f.    Waktu Pelaksanaan</t>
  </si>
  <si>
    <t>g.  Posisi Penugasan</t>
  </si>
  <si>
    <t>h.  Status Kepegawaian pada Perusahaan</t>
  </si>
  <si>
    <t>i.    Surat Referensi dari Pengguna Jasa</t>
  </si>
  <si>
    <t>Pengalaman Kerja</t>
  </si>
  <si>
    <t>Tahun</t>
  </si>
  <si>
    <t>Pengguna Jasa</t>
  </si>
  <si>
    <t>Uraian Tugas</t>
  </si>
  <si>
    <t>Posisi Penugasan</t>
  </si>
  <si>
    <t>Status Kepegawaian Pada Perusahaan</t>
  </si>
  <si>
    <t>Surat Referensi dari Pengguna Jasa</t>
  </si>
  <si>
    <t>Daftar Riwayat Hidup Personil Yang Diusulkan</t>
  </si>
  <si>
    <t>9.</t>
  </si>
  <si>
    <t>Status Kepegawaian pada Perusahaan Ini</t>
  </si>
  <si>
    <t xml:space="preserve">Daftar riwayat hidup ini saya buat dengan sebenar-benarnya dan penuh rasa tanggung jawab. Jika terdapat pengungkapan keterangan yang tidak benar secara sengaja atau sepatutnya diduga maka saya siap untuk digugurkan dari proses seleksi atau dikeluarkan jika sudah dipekerjakan. </t>
  </si>
  <si>
    <t>Yang Membuat</t>
  </si>
  <si>
    <t>Pernyataan</t>
  </si>
  <si>
    <t>Nama Jelas</t>
  </si>
  <si>
    <t>Mengetahui :</t>
  </si>
  <si>
    <t>Ketua Tim</t>
  </si>
  <si>
    <t>Tenaga Ahli Tetap</t>
  </si>
  <si>
    <t>04 Juli 2011 - 04 Oktober 2011</t>
  </si>
  <si>
    <t>Kab. Donggala</t>
  </si>
  <si>
    <t>Dinas PU Kab. Donggala</t>
  </si>
  <si>
    <t>2 April 2009 - 3 Desember 2009</t>
  </si>
  <si>
    <t>14 April 2008 - 14 Juli 2008</t>
  </si>
  <si>
    <t>Kota Palu</t>
  </si>
  <si>
    <t>Dinas PU Kota Palu</t>
  </si>
  <si>
    <t>25 April 2007 - 26 Mei 2007</t>
  </si>
  <si>
    <t>SUWARDI, ST</t>
  </si>
  <si>
    <t>Ahli Sipil</t>
  </si>
  <si>
    <t>Tenaga Ahli Pendukung</t>
  </si>
  <si>
    <t>Ahli sipil</t>
  </si>
  <si>
    <t>Ahli Arsitektur</t>
  </si>
  <si>
    <t>Tenaga Lapangan</t>
  </si>
  <si>
    <t>Pengolah Data</t>
  </si>
  <si>
    <t>Teknik Sipil</t>
  </si>
  <si>
    <t>Pekerjaan Persiapan :  Mobilisasi Peralatan dan Personil</t>
  </si>
  <si>
    <t>Perumusan Metode dan Strategi Pelaksanaan Kegiatan</t>
  </si>
  <si>
    <t>Survey Investigasi  :</t>
  </si>
  <si>
    <t>- Pengukuran Lokasi</t>
  </si>
  <si>
    <t>- Pemeriksaan Tanah</t>
  </si>
  <si>
    <t>Penyusunan Inception Report</t>
  </si>
  <si>
    <t>Pembuatan Gambar Desain Jalan</t>
  </si>
  <si>
    <t>Analisa Perhitungan Struktur : Hasil Perhitungan</t>
  </si>
  <si>
    <t>Pengecekan Gambar Desain dan Pembuatan Perspektif / Detail Jalan</t>
  </si>
  <si>
    <t>Monitoring Pelaksanaan Kegiatan Perencanaan</t>
  </si>
  <si>
    <t>Asistensi Pekerjaan dengan Pihak Proyek : Pekerjaan Revisi atau Dilanjutkan</t>
  </si>
  <si>
    <t>Penyusunan Konsep Laporan Akhir</t>
  </si>
  <si>
    <t>Pembuatan Gambar DED  Final dan Pencetakan Gambar</t>
  </si>
  <si>
    <t>Penyusunan Engineering Estimate</t>
  </si>
  <si>
    <t>Penyusunan Resume Kegiatan dan Pembuatan Laporan Akhir</t>
  </si>
  <si>
    <t>Penggandaan Laporan, Gambar Kerja, Engineering Estimate (RAB)</t>
  </si>
  <si>
    <t>Penyerahan Laporan Akhir  (Pekerjaan Selesai)</t>
  </si>
  <si>
    <t>PERNYATAAN KESEDIAAN UNTUK DITUGASKAN</t>
  </si>
  <si>
    <t>Yang Bertanda tangan di bawah ini :</t>
  </si>
  <si>
    <t xml:space="preserve">Nama </t>
  </si>
  <si>
    <t>Alamat</t>
  </si>
  <si>
    <t>Dengan ini menyatakan bahwa saya bersedia untuk melaksanakan paket pekerjaan jasa konsultansi _____________ untuk Penyedia Jasa Konsultansi  _____________ sesuai dengan usulan jadwal penugasan saya dari bulan  __________ tahun __________ sampai dengan bulan__________ tahun __________ dengan posisi sebagai tenaga ahli _________________.</t>
  </si>
  <si>
    <t>Demikian pernyataan ini saya buat dengan sebenar-benarnya dan penuh rasa tanggung jawab.</t>
  </si>
  <si>
    <t>Yang   Membuat</t>
  </si>
  <si>
    <t>(</t>
  </si>
  <si>
    <t>)</t>
  </si>
  <si>
    <t>Menyetujui :</t>
  </si>
  <si>
    <t>Pasangkayu,    April 2012</t>
  </si>
  <si>
    <t>Nomor</t>
  </si>
  <si>
    <t>Lampiran</t>
  </si>
  <si>
    <t>Kepada Yth</t>
  </si>
  <si>
    <t>Pokja Jasa Konstruksi ULP Kab. Mamuju Utara</t>
  </si>
  <si>
    <t>04/PNWR-KONT/TPU/X/2012</t>
  </si>
  <si>
    <t>1 (Satu) Berkas</t>
  </si>
  <si>
    <t>di</t>
  </si>
  <si>
    <t>Pasangkayu</t>
  </si>
  <si>
    <t>Perihal   :</t>
  </si>
  <si>
    <t xml:space="preserve">Penawaran Administrasi dan Teknis “Perencanaan  Peningkatan Hotmix Jalan Poros Trans dan Perecanaan Peningkatan Hotmix Jalan Malei Desa Pedanda 1” </t>
  </si>
  <si>
    <t xml:space="preserve">Sehubungan dengan Undangan Pengambilan Dokumen Pemilihan Nomor P.0004.a/UND-DP/PU/ULP-JKJL/IV/2012 tanggal 17 April 2012 dan setelah kami pelajari dengan saksama Dokumen Pemilihan, Berita Acara Pemberian Penjelasan Adendum Dokumen Perencanaan, serta menunjuk Surat Penawaran Administrasi dan Teknis kami nomor 03/PNWR-KONT/TPU/X/2012 perihal  Penawaran Administrasi dan Teknis Penawaran Administrasi dan Teknis “Perencanaan  Peningkatan Hotmix Jalan Poros Trans dan Perecanaan Peningkatan Hotmix Jalan Malei Desa Pedanda 1” , dengan ini kami mengajukan Penawaran Biaya untuk pekerjaan “Perencanaan  Peningkatan Hotmix Jalan Poros Trans dan Perecanaan Peningkatan Hotmix Jalan Malei Desa Pedanda 1” sebesar Rp. ______________ (____________________________). </t>
  </si>
  <si>
    <t xml:space="preserve">Penawaran Biaya ini sudah memperhatikan ketentuan dan persyaratan yang tercantum dalam Dokumen Pemilihan untuk melaksanakan pekerjaan tersebut di atas.
Jangka waktu pelaksanaan pekerjaan selama 30 (Tiga Puluh) hari kalender. 
</t>
  </si>
  <si>
    <t xml:space="preserve">Sesuai dengan persyaratan Dokumen Pemilihan, bersama Surat Penawaran Biaya ini kami lampirkan :  </t>
  </si>
  <si>
    <t xml:space="preserve">Penawaran ini berlaku selama 14 (Empat Belas) hari kalender sejak pembukaan Dokumen Penawaran. </t>
  </si>
  <si>
    <t>Rekapitulasi Penawaran Biaya</t>
  </si>
  <si>
    <t>Rincian Biaya Langsung Personil (remuneration)</t>
  </si>
  <si>
    <t>Rincian Biaya Langsung Non-Personil (direct reimburseable cost)</t>
  </si>
  <si>
    <t>Dengan disampaikannya Surat Penawaran ini, maka kami menyatakan sanggup dan akan tunduk pada semua ketentuan yang tercantum dalam Dokumen Pemilihan.</t>
  </si>
  <si>
    <t>No</t>
  </si>
  <si>
    <t>Uraian</t>
  </si>
  <si>
    <t>Total Harga</t>
  </si>
  <si>
    <t>(Rp)</t>
  </si>
  <si>
    <t>Biaya Langsung Personil</t>
  </si>
  <si>
    <t>Biaya Langsung Non -  Personil</t>
  </si>
  <si>
    <t>Sub-total</t>
  </si>
  <si>
    <t>PPN 10 %</t>
  </si>
  <si>
    <t>Trebilang :</t>
  </si>
  <si>
    <t>Harga Satuan</t>
  </si>
  <si>
    <t>Orang                                           Bulan</t>
  </si>
  <si>
    <t>Jumlah                                        (Rp)</t>
  </si>
  <si>
    <t>Total Biaya</t>
  </si>
  <si>
    <t>Jenis Biaya</t>
  </si>
  <si>
    <t>Uraian Biaya</t>
  </si>
  <si>
    <t>Satuan                                             (hari/kali)</t>
  </si>
  <si>
    <t>Biaya-biaya</t>
  </si>
  <si>
    <t>Harga Satuan                                    (Rp)</t>
  </si>
  <si>
    <r>
      <rPr>
        <i/>
        <sz val="11"/>
        <color theme="1"/>
        <rFont val="Calibri"/>
        <family val="2"/>
        <scheme val="minor"/>
      </rPr>
      <t xml:space="preserve">Lump Sum  </t>
    </r>
    <r>
      <rPr>
        <sz val="11"/>
        <color theme="1"/>
        <rFont val="Calibri"/>
        <family val="2"/>
        <charset val="1"/>
        <scheme val="minor"/>
      </rPr>
      <t xml:space="preserve">                                  (Rp)</t>
    </r>
  </si>
  <si>
    <r>
      <t>Jumlah</t>
    </r>
    <r>
      <rPr>
        <i/>
        <sz val="11"/>
        <color theme="1"/>
        <rFont val="Calibri"/>
        <family val="2"/>
        <scheme val="minor"/>
      </rPr>
      <t xml:space="preserve"> </t>
    </r>
    <r>
      <rPr>
        <sz val="11"/>
        <color theme="1"/>
        <rFont val="Calibri"/>
        <family val="2"/>
        <charset val="1"/>
        <scheme val="minor"/>
      </rPr>
      <t xml:space="preserve">                                  (Rp)</t>
    </r>
  </si>
  <si>
    <t>Biaya              Kantor</t>
  </si>
  <si>
    <t>Biaya Sewa                                 Kantor</t>
  </si>
  <si>
    <t>Biaya Pemeliharaan                                 Kantor</t>
  </si>
  <si>
    <t>Biaya  Komunikasi</t>
  </si>
  <si>
    <t>Biaya Peralatan Kantor</t>
  </si>
  <si>
    <t>Biaya                Perjalanan Dinas</t>
  </si>
  <si>
    <t>Biaya Tiket</t>
  </si>
  <si>
    <t>Uang Harian</t>
  </si>
  <si>
    <t>Perjalanan Darat</t>
  </si>
  <si>
    <t>Biaya             Laporan</t>
  </si>
  <si>
    <t>Laporan Pendahuluan</t>
  </si>
  <si>
    <t>Laporan Antara</t>
  </si>
  <si>
    <t>Laporan Akhir</t>
  </si>
  <si>
    <t>Laporan Penyelenggaraan Seminar</t>
  </si>
  <si>
    <t>Biaya Kantor Lainnya</t>
  </si>
  <si>
    <t>Biaya Perjalanan Dinas lainnya</t>
  </si>
  <si>
    <t>Biaya Laporan Lainnya</t>
  </si>
  <si>
    <t>Biaya             Lainnya</t>
  </si>
  <si>
    <t>Terlampir</t>
  </si>
  <si>
    <t>Pegawai Tetap</t>
  </si>
  <si>
    <t>Pegawai Tidak Tetap</t>
  </si>
  <si>
    <t>Baik</t>
  </si>
  <si>
    <t>Pelatihan Asosiasi Tenaga Ahli Konstruksi Indonesia</t>
  </si>
  <si>
    <t>Pelatihan Ikatan Arsitek Indonesia</t>
  </si>
  <si>
    <t>Untad Palu, 20 Maret 2000</t>
  </si>
  <si>
    <t>- Melakukan asistensi kepada pemberi tugas terhadap desain yang telah dikerjakan,</t>
  </si>
  <si>
    <t>- Membuat laporan maupun dokumen struktur lainnya,</t>
  </si>
  <si>
    <t>- Bersama personil lainnya melakukan ekspose terhadap desain yang telah dihasilkan,</t>
  </si>
  <si>
    <t>- Membuat  dan menghitung desain struktur konstruksi                       yang kokoh namun ekonomis,</t>
  </si>
  <si>
    <t>- Membuat/menyusun dokumen lelang untuk                         pelaksanaan fisik.</t>
  </si>
  <si>
    <t>- Bersama Team Leader membuat  dan menghitung desain struktur konstruksi                       yang kokoh namun ekonomis,</t>
  </si>
  <si>
    <t>- Bersama Team Leader Melakukan asistensi kepada pemberi tugas terhadap desain yang telah dikerjakan,</t>
  </si>
  <si>
    <t>- Membantu Leader Membuat laporan maupun dokumen struktur lainnya,</t>
  </si>
  <si>
    <t>- Membantu Team Leader Membuat/menyusun dokumen lelang untuk pelaksanaan fisik.</t>
  </si>
  <si>
    <t xml:space="preserve">e.   </t>
  </si>
  <si>
    <t>e. </t>
  </si>
  <si>
    <t>Lokal</t>
  </si>
  <si>
    <t>Team Leader</t>
  </si>
  <si>
    <t>Managerial</t>
  </si>
  <si>
    <t>Uraian              Pekerjaan</t>
  </si>
  <si>
    <t>Lingkup                       Keahlian</t>
  </si>
  <si>
    <t>Uraian                       Pekerjaan</t>
  </si>
  <si>
    <t>Pelatihan Ikatan Ahli Perencanaan Indonesia</t>
  </si>
  <si>
    <t>Perencanaan Data Base Jalan</t>
  </si>
  <si>
    <t>Husin, ST</t>
  </si>
  <si>
    <t>Fikri, ST</t>
  </si>
  <si>
    <t>CV. Adicipta Nusatama</t>
  </si>
  <si>
    <t>Taufik K. Palenga, ST</t>
  </si>
  <si>
    <t>Kilo/ 05 Juli 1969</t>
  </si>
  <si>
    <t>Soppeng/02 Agustus 1974</t>
  </si>
  <si>
    <t>Universitas Hasanuddin, Makasar, 25 Nopember 2000</t>
  </si>
  <si>
    <t>Ir. Irwan, IAI</t>
  </si>
  <si>
    <t>Jakarta/22 Juni 1972</t>
  </si>
  <si>
    <t>Universitas Muslim Indonesia, Maksar, 26 Pebruari 2000</t>
  </si>
  <si>
    <t>CV. Adicipta Nustama</t>
  </si>
  <si>
    <t>Manado/27 Maret 1976</t>
  </si>
  <si>
    <t>Universitas Muslim Indonesia Makasar, 11 Mei 2002</t>
  </si>
  <si>
    <t>Perencanaan Teknis Peningkatan Jalan Hi. Hayun</t>
  </si>
  <si>
    <t>Kab. Tolitoli</t>
  </si>
  <si>
    <t>Dinas PU Kab. Tolitoli</t>
  </si>
  <si>
    <t>Kabupaten Sigi</t>
  </si>
  <si>
    <t>Jasa Perencanaan</t>
  </si>
  <si>
    <t>02 Nopember 2010 s/d 16 Desember 2010</t>
  </si>
  <si>
    <t>Perencanaan Hotmix Jalan Kampus Untad</t>
  </si>
  <si>
    <t>Universitas Tadulako</t>
  </si>
  <si>
    <t>Perencanaan Pembukaan Jalan Poboya</t>
  </si>
  <si>
    <t>Perencanaan Hotmix Jalan Otista</t>
  </si>
  <si>
    <t>Padang, 18 April 1963</t>
  </si>
  <si>
    <t>Univ. Katolik Parahyangan Bandung, 18 April, 2000</t>
  </si>
  <si>
    <t>Dinas PU Kab. Mamuju Utara</t>
  </si>
  <si>
    <t>Kota Pasangkayu Mamuju Utara</t>
  </si>
  <si>
    <t>URAIAN PENGALAMAN KERJA SEJENIS</t>
  </si>
  <si>
    <t>10 (SEPULUH) TAHUN TERAKHIR</t>
  </si>
  <si>
    <t>Jumlah Tenaga ahli :</t>
  </si>
  <si>
    <t>10.</t>
  </si>
  <si>
    <t>Perusahaan Mitra Kerja</t>
  </si>
  <si>
    <t>a. (Nama Perusahaan)</t>
  </si>
  <si>
    <t>b. (Nama Perusahaan)</t>
  </si>
  <si>
    <t>c. (Nama Perusahaan)</t>
  </si>
  <si>
    <t>d. (Nama Perusahaan)</t>
  </si>
  <si>
    <t>dst</t>
  </si>
  <si>
    <t>Asing</t>
  </si>
  <si>
    <t>Jumlah Tenaga Ahli</t>
  </si>
  <si>
    <t>Indonesia</t>
  </si>
  <si>
    <t>Nama Perusahaan Utama (Led Firm)</t>
  </si>
  <si>
    <t>Negara Asal</t>
  </si>
  <si>
    <t>CV.TOHA PRATAMA</t>
  </si>
  <si>
    <t>Jln. Basuki Rahmat Lrg.Saleko I No.110c</t>
  </si>
  <si>
    <t>CV. TOHA PRATAMA</t>
  </si>
  <si>
    <t>ANDI NUR FAISAL, ST</t>
  </si>
  <si>
    <t>s/d</t>
  </si>
  <si>
    <t>Dinas Pendidikan, Kebudayaan, Pemuda dan Olahraga</t>
  </si>
  <si>
    <t>Zulkifli, ST</t>
  </si>
  <si>
    <t>Zulfikar</t>
  </si>
  <si>
    <t>Juru gambar</t>
  </si>
  <si>
    <t>CAD/CAM Operator</t>
  </si>
  <si>
    <t>Pasangkayu, Kab Mamuju Utara</t>
  </si>
  <si>
    <t>1. Perencanaan Rehabilitasi Ruang Belajar SMUN 03 Mamuju Utara</t>
  </si>
  <si>
    <t>2. Perencanaan Rehabilitasi Ruang Belajar SMUN 04 Mamuju Utara</t>
  </si>
  <si>
    <t>3. Perencanaan Rehabilitasi Ruang Belajar SMUN 05 Mamuju Utara</t>
  </si>
  <si>
    <t>4. Perencanaan Rehabilitasi Ruang Belajar SMUN 06 Mamuju Utara</t>
  </si>
  <si>
    <t>Jasa Konsultansi</t>
  </si>
  <si>
    <t>1. Perencanaan Jembatan Wirabuana</t>
  </si>
  <si>
    <t>2. Perencanaan Jembatan Todai</t>
  </si>
  <si>
    <t>3. Perencanaan Jembatan Saluwu Kaluku Nagka</t>
  </si>
  <si>
    <t>1. Perencanaan Pembangunan Saluran Pembuang Desa Sarudu</t>
  </si>
  <si>
    <t>2. Perencanaan Pembangunan Saluran Pembuang Dusun Sinar Wajo Desa Karya Bersama</t>
  </si>
  <si>
    <t>3. Perencanaan Pembangunan Saluran Pembuang Dusun Marembeau Desa Karya Bersama</t>
  </si>
  <si>
    <t>4. Perencanaan Saluran Pembuang Kel.Bambalamotu</t>
  </si>
  <si>
    <t>5.Perencanaan Pembangunan Saluran Pembuang Dusun Sempo Selatan</t>
  </si>
  <si>
    <t>6. Perencanaan Pembangunan Saluran Pembuang Salunggaluku Desa Randomayang</t>
  </si>
  <si>
    <t>7. Perencanaan Normalisasi Sungai Tikke</t>
  </si>
  <si>
    <t>8. Perencanaan Pembangunan Saluran Pembuang Dusun Tamaallo Desa Sarudu</t>
  </si>
  <si>
    <t>9. Perencanaan Normalisasi Sungai Karave</t>
  </si>
  <si>
    <t>10. Perencanaan Normalisasi Saluran Kampung Maros</t>
  </si>
  <si>
    <t>11. Perencanaan Normalisasi Saluran Tamaallo Desa Bulu Mario</t>
  </si>
  <si>
    <t>1. Perencanaan Pembukaan Jalan Watu-wete Bulai</t>
  </si>
  <si>
    <t>2. Perencanaan Pembukaan Jalan Kuma Sarudu</t>
  </si>
  <si>
    <t>1. Perencanaan Peningkatan Jalan Rojo Dusun Pangale</t>
  </si>
  <si>
    <t>2. Perencanaan Peningkatan Jalan Tamarunang SP5</t>
  </si>
  <si>
    <t>Sekretariat Daerah Kab. Mamuju Utara</t>
  </si>
  <si>
    <t>Perencanaan</t>
  </si>
  <si>
    <t>Perencanaan Teknis Landscape Kantor Kecamatan Doripoku</t>
  </si>
  <si>
    <t>Jasa Konsultansi Perencanaan Teknis Landscape Kantor Kecamatan Tikke Raya</t>
  </si>
  <si>
    <t>Jasa Konsultansi Perencanaan Renovasi Total Kantor Camat Baras</t>
  </si>
  <si>
    <t>Perencanaan Rehabilitasi Ruang Belajar SMUN 03 Mamuju Utara, Perencanaan Rehabilitasi Ruang Belajar SMUN 04 Mamuju Utara, Perencanaan Rehabilitasi Ruang Belajar SMUN 05 Mamuju Utara, Perencanaan Rehabilitasi Ruang Belajar SMUN 06 Mamuju Utara.</t>
  </si>
  <si>
    <t>Rp. 36.960.000,-</t>
  </si>
  <si>
    <t>410/13/Kont-Konsult.Prc/Pgd.L-DAU/IV/2013</t>
  </si>
  <si>
    <t>24 April s/d 23 Mei 2013</t>
  </si>
  <si>
    <t>Perencanaan Pembangunan Saluran Pembuang Desa Sarudu, Perencanaan Pembangunan Saluran Pembuang Dusun Sinar Wajo Desa Karya Bersama, Perencanaan Pembangunan Saluran Pembuang Dusun Marembeau Desa Karya Bersama, Perencanaan Saluran Pembuang Kel.Bambalamotu, Perencanaan Pembangunan Saluran Pembuang Dusun Sempo Selatan, Perencanaan Pembangunan Saluran Pembuang Salunggaluku Desa Randomayang, Perencanaan Normalisasi Sungai Tikke, Perencanaan Pembangunan Saluran Pembuang Dusun Tamaallo Desa Sarudu, Perencanaan Normalisasi Sungai Karave, Perencanaan Normalisasi Saluran Kampung Maros, Perencanaan Normalisasi Saluran Tamaallo Desa Bulu Mario.</t>
  </si>
  <si>
    <t>Rp. 44.533.000,-</t>
  </si>
  <si>
    <t>600/041/SPK-KONSULTAN/PPK/III/2013/DPU</t>
  </si>
  <si>
    <t>26 Maret s/d 24 April 2013</t>
  </si>
  <si>
    <t>Perencanaan Pembukaan Jalan Watu-wete Bulai, Perencanaan Pembukaan Jalan Kuma Sarudu.</t>
  </si>
  <si>
    <t>Rp. 10.252.000,-</t>
  </si>
  <si>
    <t>600/018/SPK-KSL-BM/PPK/III/2014/DPU</t>
  </si>
  <si>
    <t>17 Maret s/d 15 April 2014</t>
  </si>
  <si>
    <t>Perencanaan Peningkatan Jalan Rojo Dusun Pangale, Perencanaan Peningkatan Jalan Tamarunang SP5.</t>
  </si>
  <si>
    <t>Rp. 19.046.000,-</t>
  </si>
  <si>
    <t>600/017/SPK-KSL-BM/PPK/III/2014/DPU</t>
  </si>
  <si>
    <t>Rp. 39.990.000,-</t>
  </si>
  <si>
    <t>05.P/SPK-PRCN/PPK/X/2014/SETDA</t>
  </si>
  <si>
    <t>06 Oktober s/d 05 Nopember 2014</t>
  </si>
  <si>
    <t>Rp. 39.970.000,-</t>
  </si>
  <si>
    <t>07.P/SPK-PRCN/PPK/X/2014/SETDA</t>
  </si>
  <si>
    <t>Rp. 18.000.000,-</t>
  </si>
  <si>
    <t>09.P/SPK-PRCN/PPK/X/2014/SETDA</t>
  </si>
  <si>
    <t>Ahli Sipil Transportasi</t>
  </si>
  <si>
    <t>Sub Profesional Staff</t>
  </si>
  <si>
    <t>(Personil Pendukung)</t>
  </si>
  <si>
    <t>Supporting Personil Staff</t>
  </si>
  <si>
    <t>Surveyor</t>
  </si>
  <si>
    <t>Survey</t>
  </si>
  <si>
    <t>Tenaga Teknis Mektan</t>
  </si>
  <si>
    <t>Rahmon</t>
  </si>
  <si>
    <t>Hedi</t>
  </si>
  <si>
    <t>Pembantu Pengukuran</t>
  </si>
  <si>
    <t>Pembantu Tenaga Mektan</t>
  </si>
  <si>
    <t>Administrasi</t>
  </si>
  <si>
    <t>Administrator</t>
  </si>
  <si>
    <t>Dengan ini menyatakan bahwa saya bersedia untuk melaksanakan paket pekerjaan jasa konsultansi Perencanaan Peningkatan Pelabuhan Ako – Salule  untuk Penyedia Jasa Konsultansi  CV.TOHA PRATAMA sesuai dengan usulan jadwal penugasan saya dari bulan Februari tahun  2015 dengan posisi sebagai tenaga ahli Team Leader.</t>
  </si>
  <si>
    <t>Dengan ini menyatakan bahwa saya bersedia untuk melaksanakan paket pekerjaan jasa konsultansi Perencanaan Peningkatan Pelabuhan Ako – Salule  untuk Penyedia Jasa Konsultansi  CV.TOHA PRATAMA sesuai dengan usulan jadwal penugasan saya dari bulan Februari tahun  2015 dengan posisi sebagai tenaga ahli Ahli Sipil Transportasi.</t>
  </si>
  <si>
    <t>Ir.Fatmawati</t>
  </si>
  <si>
    <t>Deddy Sanjaya Rioeh,ST</t>
  </si>
  <si>
    <t xml:space="preserve">Kemas Somad RT.18/RW.02 No.99 Kel.Kenali Besar Kec.Kota </t>
  </si>
  <si>
    <t>Baru Kota Jambi</t>
  </si>
  <si>
    <t>Moh.Safar, ST</t>
  </si>
  <si>
    <t>Iswanto, ST</t>
  </si>
  <si>
    <t>Pasangkayu, 13 Februari 2015</t>
  </si>
  <si>
    <t>Perencanaan Peningkatan Jalan Hotmix Desa Letawa</t>
  </si>
  <si>
    <t>11.</t>
  </si>
  <si>
    <t>Perencanaan Peningkatan Jalan Hotmix Dusun Jono Desa Tikke</t>
  </si>
  <si>
    <t>12.</t>
  </si>
  <si>
    <t>Perencanaan Peningkatan Jalan Hotmix Desa Karave</t>
  </si>
  <si>
    <t>13.</t>
  </si>
  <si>
    <t>Perencanaan Peningkatan Jalan Hotmix Kelurahan Bambalamotu</t>
  </si>
  <si>
    <t>14.</t>
  </si>
  <si>
    <t>Perencanaan Peningkatan Jalan Hotmix Desa Parabu</t>
  </si>
  <si>
    <t>Pasangkayu,  13 Februari 2015</t>
  </si>
  <si>
    <t>G.</t>
  </si>
  <si>
    <t>Maret</t>
  </si>
  <si>
    <t>Pasangkayu, 21 Februari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</si>
</sst>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F800]dddd\,\ mmmm\ dd\,\ yyyy"/>
  </numFmts>
  <fonts count="15" x14ac:knownFonts="1">
    <font>
      <sz val="11"/>
      <color theme="1"/>
      <name val="Calibri"/>
      <family val="2"/>
      <charset val="1"/>
      <scheme val="minor"/>
    </font>
    <font>
      <sz val="11"/>
      <color theme="1"/>
      <name val="Calibri"/>
      <family val="2"/>
      <scheme val="minor"/>
    </font>
    <font>
      <b/>
      <sz val="12"/>
      <color theme="1"/>
      <name val="Times New Roman"/>
      <family val="1"/>
    </font>
    <font>
      <sz val="12"/>
      <color theme="1"/>
      <name val="Times New Roman"/>
      <family val="1"/>
    </font>
    <font>
      <sz val="10"/>
      <color theme="1"/>
      <name val="Times New Roman"/>
      <family val="1"/>
    </font>
    <font>
      <b/>
      <u/>
      <sz val="12"/>
      <color theme="1"/>
      <name val="Times New Roman"/>
      <family val="1"/>
    </font>
    <font>
      <u/>
      <sz val="11"/>
      <color theme="10"/>
      <name val="Calibri"/>
      <family val="2"/>
      <charset val="1"/>
    </font>
    <font>
      <sz val="12"/>
      <name val="Times New Roman"/>
      <family val="1"/>
    </font>
    <font>
      <sz val="11"/>
      <color theme="1"/>
      <name val="Times New Roman"/>
      <family val="1"/>
    </font>
    <font>
      <sz val="12"/>
      <name val="Goudy Old Style"/>
      <family val="1"/>
    </font>
    <font>
      <b/>
      <sz val="11"/>
      <color theme="1"/>
      <name val="Calibri"/>
      <family val="2"/>
      <scheme val="minor"/>
    </font>
    <font>
      <b/>
      <u/>
      <sz val="11"/>
      <color theme="1"/>
      <name val="Calibri"/>
      <family val="2"/>
      <scheme val="minor"/>
    </font>
    <font>
      <i/>
      <sz val="11"/>
      <color theme="1"/>
      <name val="Calibri"/>
      <family val="2"/>
      <scheme val="minor"/>
    </font>
    <font>
      <sz val="11"/>
      <color theme="1"/>
      <name val="Calibri"/>
      <family val="2"/>
      <charset val="1"/>
      <scheme val="minor"/>
    </font>
    <font>
      <sz val="12"/>
      <color rgb="FFFF0000"/>
      <name val="Times New Roman"/>
      <family val="1"/>
    </font>
  </fonts>
  <fills count="7">
    <fill>
      <patternFill patternType="none"/>
    </fill>
    <fill>
      <patternFill patternType="gray125"/>
    </fill>
    <fill>
      <patternFill patternType="lightUp"/>
    </fill>
    <fill>
      <patternFill patternType="solid">
        <fgColor theme="0" tint="-0.34998626667073579"/>
        <bgColor indexed="64"/>
      </patternFill>
    </fill>
    <fill>
      <patternFill patternType="solid">
        <fgColor theme="1"/>
        <bgColor indexed="64"/>
      </patternFill>
    </fill>
    <fill>
      <patternFill patternType="lightUp">
        <bgColor theme="1"/>
      </patternFill>
    </fill>
    <fill>
      <patternFill patternType="solid">
        <fgColor theme="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ck">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3">
    <xf numFmtId="0" fontId="0" fillId="0" borderId="0"/>
    <xf numFmtId="0" fontId="6" fillId="0" borderId="0" applyNumberFormat="0" applyFill="0" applyBorder="0" applyAlignment="0" applyProtection="0">
      <alignment vertical="top"/>
      <protection locked="0"/>
    </xf>
    <xf numFmtId="164" fontId="13" fillId="0" borderId="0" applyFont="0" applyFill="0" applyBorder="0" applyAlignment="0" applyProtection="0"/>
  </cellStyleXfs>
  <cellXfs count="246">
    <xf numFmtId="0" fontId="0" fillId="0" borderId="0" xfId="0"/>
    <xf numFmtId="0" fontId="2" fillId="0" borderId="0" xfId="0" applyFont="1"/>
    <xf numFmtId="0" fontId="3" fillId="0" borderId="0" xfId="0" applyFont="1" applyAlignment="1">
      <alignment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3" fillId="0" borderId="10" xfId="0" applyFont="1" applyBorder="1" applyAlignment="1">
      <alignment vertical="center"/>
    </xf>
    <xf numFmtId="0" fontId="3" fillId="0" borderId="11" xfId="0" applyFont="1" applyBorder="1" applyAlignment="1">
      <alignment horizontal="center" vertical="center"/>
    </xf>
    <xf numFmtId="0" fontId="3" fillId="0" borderId="12" xfId="0" applyFont="1" applyBorder="1" applyAlignment="1">
      <alignment vertical="center"/>
    </xf>
    <xf numFmtId="0" fontId="3" fillId="0" borderId="13"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0" xfId="0" applyFont="1"/>
    <xf numFmtId="0" fontId="3" fillId="0" borderId="16" xfId="0" applyFont="1" applyBorder="1" applyAlignment="1">
      <alignment vertical="center"/>
    </xf>
    <xf numFmtId="0" fontId="3" fillId="0" borderId="17" xfId="0" applyFont="1" applyBorder="1" applyAlignment="1">
      <alignment vertical="center"/>
    </xf>
    <xf numFmtId="0" fontId="3" fillId="0" borderId="17" xfId="0" applyFont="1" applyBorder="1" applyAlignment="1">
      <alignment horizontal="center" vertical="center"/>
    </xf>
    <xf numFmtId="0" fontId="3" fillId="0" borderId="18"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3" fillId="0" borderId="7"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xf numFmtId="0" fontId="2" fillId="0" borderId="0" xfId="0" applyFont="1" applyAlignment="1">
      <alignment horizontal="left"/>
    </xf>
    <xf numFmtId="0" fontId="2" fillId="0" borderId="0" xfId="0" applyFont="1" applyAlignment="1">
      <alignment horizontal="center"/>
    </xf>
    <xf numFmtId="0" fontId="5" fillId="0" borderId="0" xfId="0" applyFont="1" applyAlignment="1">
      <alignment horizontal="center"/>
    </xf>
    <xf numFmtId="0" fontId="3" fillId="0" borderId="1" xfId="0" applyFont="1" applyBorder="1"/>
    <xf numFmtId="0" fontId="3" fillId="0" borderId="0" xfId="0" applyFont="1" applyAlignment="1">
      <alignment horizontal="right"/>
    </xf>
    <xf numFmtId="0" fontId="0" fillId="0" borderId="0" xfId="0" applyAlignment="1">
      <alignment horizontal="center"/>
    </xf>
    <xf numFmtId="0" fontId="3" fillId="0" borderId="0" xfId="0" applyFont="1" applyAlignment="1">
      <alignment horizontal="left" vertical="center"/>
    </xf>
    <xf numFmtId="0" fontId="3" fillId="0" borderId="0" xfId="0" applyFont="1" applyAlignment="1">
      <alignment horizontal="left"/>
    </xf>
    <xf numFmtId="0" fontId="3" fillId="0" borderId="0" xfId="0" applyFont="1" applyAlignment="1">
      <alignment horizontal="justify"/>
    </xf>
    <xf numFmtId="0" fontId="5" fillId="0" borderId="0" xfId="0" applyFont="1"/>
    <xf numFmtId="0" fontId="7" fillId="0" borderId="0" xfId="1" applyFont="1" applyAlignment="1" applyProtection="1">
      <alignment horizontal="left" vertical="center"/>
    </xf>
    <xf numFmtId="0" fontId="3" fillId="0" borderId="3" xfId="0" applyFont="1" applyBorder="1" applyAlignment="1">
      <alignment horizontal="center" vertical="center"/>
    </xf>
    <xf numFmtId="49" fontId="3" fillId="0" borderId="3" xfId="0" applyNumberFormat="1" applyFont="1" applyBorder="1" applyAlignment="1">
      <alignment vertical="center"/>
    </xf>
    <xf numFmtId="0" fontId="8" fillId="0" borderId="3" xfId="0" applyFont="1" applyBorder="1" applyAlignment="1">
      <alignment horizontal="center" vertical="center"/>
    </xf>
    <xf numFmtId="0" fontId="3" fillId="0" borderId="20" xfId="0" applyFont="1" applyBorder="1" applyAlignment="1">
      <alignment horizontal="center" vertical="center"/>
    </xf>
    <xf numFmtId="0" fontId="3" fillId="0" borderId="16" xfId="0" applyFont="1" applyBorder="1" applyAlignment="1">
      <alignment vertical="top"/>
    </xf>
    <xf numFmtId="0" fontId="3" fillId="0" borderId="17" xfId="0" applyFont="1" applyBorder="1" applyAlignment="1">
      <alignment vertical="top"/>
    </xf>
    <xf numFmtId="0" fontId="3" fillId="0" borderId="17" xfId="0" applyFont="1" applyBorder="1" applyAlignment="1">
      <alignment horizontal="center" vertical="top"/>
    </xf>
    <xf numFmtId="49" fontId="3" fillId="0" borderId="3" xfId="0" applyNumberFormat="1" applyFont="1" applyBorder="1" applyAlignment="1">
      <alignment vertical="center" wrapText="1"/>
    </xf>
    <xf numFmtId="49" fontId="3" fillId="0" borderId="3" xfId="0" applyNumberFormat="1" applyFont="1" applyBorder="1" applyAlignment="1">
      <alignment vertical="top" wrapText="1"/>
    </xf>
    <xf numFmtId="49" fontId="3" fillId="0" borderId="3" xfId="0" applyNumberFormat="1" applyFont="1" applyBorder="1" applyAlignment="1">
      <alignment horizontal="left" vertical="top" wrapText="1"/>
    </xf>
    <xf numFmtId="0" fontId="3" fillId="0" borderId="11" xfId="0" applyFont="1" applyBorder="1" applyAlignment="1">
      <alignment horizontal="center" vertical="top"/>
    </xf>
    <xf numFmtId="0" fontId="0" fillId="0" borderId="0" xfId="0"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center" wrapText="1"/>
    </xf>
    <xf numFmtId="0" fontId="0" fillId="0" borderId="0" xfId="0" applyAlignment="1">
      <alignment horizontal="right"/>
    </xf>
    <xf numFmtId="0" fontId="10" fillId="0" borderId="0" xfId="0" applyFont="1" applyAlignment="1">
      <alignment horizontal="center" vertical="center"/>
    </xf>
    <xf numFmtId="0" fontId="0" fillId="0" borderId="0" xfId="0" applyAlignment="1">
      <alignment horizontal="left" vertical="top"/>
    </xf>
    <xf numFmtId="0" fontId="10" fillId="0" borderId="0" xfId="0" applyFont="1" applyAlignment="1">
      <alignment horizontal="center"/>
    </xf>
    <xf numFmtId="0" fontId="11" fillId="0" borderId="0" xfId="0" applyFont="1" applyAlignment="1">
      <alignment horizontal="center"/>
    </xf>
    <xf numFmtId="0" fontId="0" fillId="0" borderId="21" xfId="0" applyBorder="1" applyAlignment="1">
      <alignment horizontal="center" vertical="center"/>
    </xf>
    <xf numFmtId="0" fontId="0" fillId="0" borderId="2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32" xfId="0" applyBorder="1" applyAlignment="1">
      <alignment horizontal="center" vertical="center"/>
    </xf>
    <xf numFmtId="0" fontId="0" fillId="0" borderId="1" xfId="0" applyBorder="1"/>
    <xf numFmtId="0" fontId="0" fillId="0" borderId="1" xfId="0" applyBorder="1" applyAlignment="1">
      <alignment vertical="center" wrapText="1"/>
    </xf>
    <xf numFmtId="0" fontId="3" fillId="0" borderId="0" xfId="0" applyFont="1" applyAlignment="1">
      <alignment horizontal="justify" vertical="top"/>
    </xf>
    <xf numFmtId="0" fontId="3" fillId="0" borderId="0" xfId="0" applyFont="1" applyAlignment="1">
      <alignment horizontal="left" vertical="top"/>
    </xf>
    <xf numFmtId="0" fontId="3" fillId="0" borderId="0" xfId="0" applyFont="1" applyAlignment="1">
      <alignment horizontal="center" vertical="top"/>
    </xf>
    <xf numFmtId="0" fontId="3" fillId="0" borderId="0" xfId="0" applyFont="1" applyAlignment="1">
      <alignment vertical="top"/>
    </xf>
    <xf numFmtId="0" fontId="3" fillId="0" borderId="1" xfId="0" applyFont="1" applyBorder="1" applyAlignment="1">
      <alignment horizontal="center"/>
    </xf>
    <xf numFmtId="0" fontId="3" fillId="3" borderId="3" xfId="0" applyFont="1" applyFill="1" applyBorder="1" applyAlignment="1">
      <alignment vertical="center"/>
    </xf>
    <xf numFmtId="0" fontId="8" fillId="0" borderId="1" xfId="0" applyFont="1" applyBorder="1"/>
    <xf numFmtId="0" fontId="8" fillId="0" borderId="1" xfId="0" applyFont="1" applyBorder="1" applyAlignment="1">
      <alignment horizontal="center" vertical="center"/>
    </xf>
    <xf numFmtId="0" fontId="3" fillId="2" borderId="0" xfId="0" applyFont="1" applyFill="1"/>
    <xf numFmtId="0" fontId="3" fillId="0" borderId="25" xfId="0" applyFont="1" applyBorder="1"/>
    <xf numFmtId="0" fontId="3" fillId="4" borderId="1" xfId="0" applyFont="1" applyFill="1" applyBorder="1"/>
    <xf numFmtId="0" fontId="3" fillId="0" borderId="23" xfId="0" applyFont="1" applyBorder="1" applyAlignment="1">
      <alignment horizontal="center" vertical="center"/>
    </xf>
    <xf numFmtId="0" fontId="3" fillId="5" borderId="1" xfId="0" applyFont="1" applyFill="1" applyBorder="1"/>
    <xf numFmtId="0" fontId="12" fillId="0" borderId="1" xfId="0" applyFont="1" applyBorder="1" applyAlignment="1">
      <alignment horizontal="left" vertical="center"/>
    </xf>
    <xf numFmtId="165" fontId="3" fillId="0" borderId="3" xfId="0" applyNumberFormat="1" applyFont="1" applyBorder="1" applyAlignment="1">
      <alignment horizontal="center" vertical="center"/>
    </xf>
    <xf numFmtId="0" fontId="7" fillId="0" borderId="17" xfId="0" applyFont="1" applyBorder="1" applyAlignment="1">
      <alignment horizontal="left" vertical="center"/>
    </xf>
    <xf numFmtId="0" fontId="9" fillId="0" borderId="3" xfId="0" applyFont="1" applyBorder="1" applyAlignment="1">
      <alignment horizontal="left" vertical="top" wrapText="1"/>
    </xf>
    <xf numFmtId="164" fontId="3" fillId="0" borderId="3" xfId="2" applyFont="1" applyBorder="1" applyAlignment="1">
      <alignment horizontal="center" vertical="center"/>
    </xf>
    <xf numFmtId="0" fontId="1" fillId="0" borderId="3" xfId="0" applyFont="1" applyBorder="1" applyAlignment="1">
      <alignment vertical="center"/>
    </xf>
    <xf numFmtId="0" fontId="9" fillId="0" borderId="3" xfId="0" applyFont="1" applyBorder="1" applyAlignment="1">
      <alignment vertical="top" wrapText="1"/>
    </xf>
    <xf numFmtId="0" fontId="8" fillId="0" borderId="3" xfId="0" applyFont="1" applyBorder="1" applyAlignment="1">
      <alignment vertical="center" wrapText="1"/>
    </xf>
    <xf numFmtId="0" fontId="0" fillId="0" borderId="11" xfId="0" applyBorder="1" applyAlignment="1">
      <alignment horizontal="center" vertical="center"/>
    </xf>
    <xf numFmtId="3" fontId="3" fillId="0" borderId="3" xfId="0" applyNumberFormat="1" applyFont="1" applyBorder="1" applyAlignment="1">
      <alignment vertical="center"/>
    </xf>
    <xf numFmtId="0" fontId="8" fillId="0" borderId="3" xfId="0" applyFont="1" applyBorder="1" applyAlignment="1">
      <alignment vertical="center"/>
    </xf>
    <xf numFmtId="165" fontId="3" fillId="0" borderId="3" xfId="0" quotePrefix="1" applyNumberFormat="1" applyFont="1" applyBorder="1" applyAlignment="1">
      <alignment vertical="center"/>
    </xf>
    <xf numFmtId="0" fontId="3" fillId="0" borderId="13" xfId="0" applyFont="1" applyBorder="1" applyAlignment="1">
      <alignment horizontal="center" vertical="center"/>
    </xf>
    <xf numFmtId="0" fontId="0" fillId="0" borderId="9" xfId="0" applyBorder="1" applyAlignment="1">
      <alignment horizontal="center" vertical="center"/>
    </xf>
    <xf numFmtId="0" fontId="3" fillId="0" borderId="3" xfId="0" applyFont="1" applyBorder="1" applyAlignment="1">
      <alignment horizontal="left" vertical="center" wrapText="1"/>
    </xf>
    <xf numFmtId="0" fontId="0" fillId="6" borderId="0" xfId="0" applyFill="1"/>
    <xf numFmtId="0" fontId="0" fillId="6" borderId="0" xfId="0" applyFill="1" applyAlignment="1">
      <alignment horizontal="center" vertical="center"/>
    </xf>
    <xf numFmtId="0" fontId="0" fillId="6" borderId="0" xfId="0" applyFill="1" applyAlignment="1">
      <alignment horizontal="right"/>
    </xf>
    <xf numFmtId="0" fontId="10" fillId="6" borderId="0" xfId="0" applyFont="1" applyFill="1" applyAlignment="1">
      <alignment horizontal="center" vertical="center"/>
    </xf>
    <xf numFmtId="0" fontId="8" fillId="0" borderId="3" xfId="0" applyFont="1" applyBorder="1" applyAlignment="1">
      <alignment horizontal="center" vertical="center" wrapText="1"/>
    </xf>
    <xf numFmtId="0" fontId="3" fillId="0" borderId="43" xfId="0" applyFont="1" applyBorder="1" applyAlignment="1">
      <alignment horizontal="center" vertical="center"/>
    </xf>
    <xf numFmtId="0" fontId="8" fillId="0" borderId="44" xfId="0" applyFont="1" applyBorder="1" applyAlignment="1">
      <alignment horizontal="center" vertical="center"/>
    </xf>
    <xf numFmtId="0" fontId="3" fillId="0" borderId="45" xfId="0" applyFont="1" applyBorder="1" applyAlignment="1">
      <alignment horizontal="center" vertical="center"/>
    </xf>
    <xf numFmtId="0" fontId="8" fillId="0" borderId="47" xfId="0" applyFont="1" applyBorder="1" applyAlignment="1">
      <alignment horizontal="center" vertical="center"/>
    </xf>
    <xf numFmtId="0" fontId="12" fillId="0" borderId="47" xfId="0" applyFont="1" applyBorder="1" applyAlignment="1">
      <alignment horizontal="left" vertical="center"/>
    </xf>
    <xf numFmtId="0" fontId="3" fillId="0" borderId="50" xfId="0" applyFont="1" applyBorder="1" applyAlignment="1">
      <alignment horizontal="center" vertical="center"/>
    </xf>
    <xf numFmtId="0" fontId="12" fillId="0" borderId="2" xfId="0" applyFont="1" applyBorder="1" applyAlignment="1">
      <alignment horizontal="left" vertical="center"/>
    </xf>
    <xf numFmtId="0" fontId="0" fillId="0" borderId="21" xfId="0" applyBorder="1" applyAlignment="1">
      <alignment horizontal="left" vertical="center"/>
    </xf>
    <xf numFmtId="0" fontId="0" fillId="0" borderId="46" xfId="0" applyBorder="1" applyAlignment="1">
      <alignment horizontal="left" vertical="center"/>
    </xf>
    <xf numFmtId="0" fontId="3" fillId="0" borderId="36" xfId="0" applyFont="1" applyBorder="1" applyAlignment="1">
      <alignment horizontal="center" vertical="center"/>
    </xf>
    <xf numFmtId="0" fontId="0" fillId="0" borderId="18" xfId="0" applyBorder="1" applyAlignment="1">
      <alignment horizontal="left" vertical="center"/>
    </xf>
    <xf numFmtId="0" fontId="3" fillId="0" borderId="3" xfId="0" applyFont="1" applyBorder="1" applyAlignment="1">
      <alignment vertical="center" wrapText="1"/>
    </xf>
    <xf numFmtId="3" fontId="3" fillId="0" borderId="3" xfId="0" applyNumberFormat="1" applyFont="1" applyBorder="1" applyAlignment="1">
      <alignment horizontal="right" vertical="center"/>
    </xf>
    <xf numFmtId="0" fontId="1" fillId="0" borderId="3" xfId="0" applyFont="1" applyBorder="1" applyAlignment="1">
      <alignment horizontal="center" vertical="center"/>
    </xf>
    <xf numFmtId="165" fontId="3" fillId="0" borderId="0" xfId="0" applyNumberFormat="1" applyFont="1" applyAlignment="1">
      <alignment horizontal="center" vertical="center"/>
    </xf>
    <xf numFmtId="0" fontId="3" fillId="0" borderId="36" xfId="0" applyFont="1" applyBorder="1" applyAlignment="1">
      <alignment horizontal="left" vertical="center"/>
    </xf>
    <xf numFmtId="0" fontId="8" fillId="0" borderId="47" xfId="0" applyFont="1" applyBorder="1"/>
    <xf numFmtId="0" fontId="8" fillId="0" borderId="51"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47" xfId="0" applyFont="1" applyBorder="1" applyAlignment="1">
      <alignment horizontal="center" vertical="center"/>
    </xf>
    <xf numFmtId="0" fontId="1" fillId="0" borderId="3" xfId="0" applyFont="1" applyBorder="1" applyAlignment="1">
      <alignment horizontal="left" vertical="center" wrapText="1"/>
    </xf>
    <xf numFmtId="0" fontId="3" fillId="0" borderId="3" xfId="0" applyFont="1" applyBorder="1" applyAlignment="1">
      <alignment horizontal="left" vertical="top" wrapText="1"/>
    </xf>
    <xf numFmtId="164" fontId="3" fillId="0" borderId="3" xfId="2" applyFont="1" applyBorder="1" applyAlignment="1">
      <alignment vertical="center"/>
    </xf>
    <xf numFmtId="165" fontId="3" fillId="0" borderId="14" xfId="0" applyNumberFormat="1" applyFont="1" applyBorder="1" applyAlignment="1">
      <alignment horizontal="center" vertical="center"/>
    </xf>
    <xf numFmtId="164" fontId="3" fillId="0" borderId="14" xfId="2" applyFont="1" applyBorder="1" applyAlignment="1">
      <alignment horizontal="center" vertical="center"/>
    </xf>
    <xf numFmtId="0" fontId="3" fillId="0" borderId="52" xfId="0" applyFont="1" applyBorder="1" applyAlignment="1">
      <alignment horizontal="center" vertical="center"/>
    </xf>
    <xf numFmtId="0" fontId="9" fillId="0" borderId="53" xfId="0" applyFont="1" applyBorder="1" applyAlignment="1">
      <alignment horizontal="left" vertical="top" wrapText="1"/>
    </xf>
    <xf numFmtId="0" fontId="1" fillId="0" borderId="53" xfId="0" applyFont="1" applyBorder="1" applyAlignment="1">
      <alignment horizontal="left" vertical="center" wrapText="1"/>
    </xf>
    <xf numFmtId="0" fontId="8" fillId="0" borderId="53" xfId="0" applyFont="1" applyBorder="1" applyAlignment="1">
      <alignment horizontal="center" vertical="center" wrapText="1"/>
    </xf>
    <xf numFmtId="165" fontId="3" fillId="0" borderId="53" xfId="0" applyNumberFormat="1" applyFont="1" applyBorder="1" applyAlignment="1">
      <alignment horizontal="center" vertical="center"/>
    </xf>
    <xf numFmtId="0" fontId="3" fillId="0" borderId="53" xfId="0" applyFont="1" applyBorder="1" applyAlignment="1">
      <alignment vertical="center"/>
    </xf>
    <xf numFmtId="164" fontId="3" fillId="0" borderId="53" xfId="2" applyFont="1" applyBorder="1" applyAlignment="1">
      <alignment horizontal="center" vertical="center"/>
    </xf>
    <xf numFmtId="0" fontId="3" fillId="0" borderId="27" xfId="0" applyFont="1" applyBorder="1" applyAlignment="1">
      <alignment vertical="center"/>
    </xf>
    <xf numFmtId="0" fontId="14" fillId="3" borderId="3" xfId="0" applyFont="1" applyFill="1" applyBorder="1" applyAlignment="1">
      <alignment vertical="center"/>
    </xf>
    <xf numFmtId="0" fontId="9" fillId="0" borderId="3" xfId="0" applyFont="1" applyBorder="1" applyAlignment="1">
      <alignment horizontal="left" vertical="top" wrapText="1"/>
    </xf>
    <xf numFmtId="0" fontId="9" fillId="0" borderId="14" xfId="0" applyFont="1" applyBorder="1" applyAlignment="1">
      <alignment horizontal="left" vertical="top" wrapText="1"/>
    </xf>
    <xf numFmtId="0" fontId="8" fillId="0" borderId="3" xfId="0" applyFont="1" applyBorder="1" applyAlignment="1">
      <alignment horizontal="center" vertical="center" wrapText="1"/>
    </xf>
    <xf numFmtId="0" fontId="8" fillId="0" borderId="14" xfId="0" applyFont="1" applyBorder="1" applyAlignment="1">
      <alignment horizontal="center" vertical="center" wrapText="1"/>
    </xf>
    <xf numFmtId="0" fontId="1" fillId="0" borderId="3" xfId="0" applyFont="1" applyBorder="1" applyAlignment="1">
      <alignment horizontal="left" vertical="center" wrapText="1"/>
    </xf>
    <xf numFmtId="0" fontId="1" fillId="0" borderId="14" xfId="0" applyFont="1" applyBorder="1" applyAlignment="1">
      <alignment horizontal="left" vertical="center" wrapText="1"/>
    </xf>
    <xf numFmtId="0" fontId="8"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1" fillId="0" borderId="3" xfId="0" applyFont="1" applyBorder="1" applyAlignment="1">
      <alignment horizontal="center" vertical="center"/>
    </xf>
    <xf numFmtId="0" fontId="3" fillId="0" borderId="3" xfId="0" applyFont="1" applyBorder="1" applyAlignment="1">
      <alignment horizontal="left" vertical="top" wrapText="1"/>
    </xf>
    <xf numFmtId="14" fontId="3" fillId="0" borderId="17" xfId="0" applyNumberFormat="1" applyFont="1" applyBorder="1" applyAlignment="1">
      <alignment horizontal="left" vertical="center"/>
    </xf>
    <xf numFmtId="14" fontId="3" fillId="0" borderId="18" xfId="0" applyNumberFormat="1" applyFont="1" applyBorder="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26" xfId="0" applyFont="1" applyBorder="1" applyAlignment="1">
      <alignment horizontal="center" vertical="center"/>
    </xf>
    <xf numFmtId="0" fontId="3" fillId="0" borderId="23" xfId="0" applyFont="1" applyBorder="1" applyAlignment="1">
      <alignment horizontal="left"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2" fillId="0" borderId="0" xfId="0" applyFont="1" applyAlignment="1">
      <alignment horizontal="center" vertical="center"/>
    </xf>
    <xf numFmtId="0" fontId="2" fillId="0" borderId="23" xfId="0" applyFont="1" applyBorder="1" applyAlignment="1">
      <alignment horizontal="center" vertical="center"/>
    </xf>
    <xf numFmtId="0" fontId="3" fillId="0" borderId="17" xfId="0" applyFont="1" applyBorder="1" applyAlignment="1">
      <alignment horizontal="left" vertical="top" wrapText="1"/>
    </xf>
    <xf numFmtId="0" fontId="3" fillId="0" borderId="18" xfId="0" applyFont="1" applyBorder="1" applyAlignment="1">
      <alignment horizontal="left" vertical="top" wrapText="1"/>
    </xf>
    <xf numFmtId="0" fontId="3" fillId="0" borderId="20" xfId="0" applyFont="1" applyBorder="1" applyAlignment="1">
      <alignment horizontal="center" vertical="center"/>
    </xf>
    <xf numFmtId="0" fontId="2" fillId="0" borderId="0" xfId="0" applyFont="1" applyAlignment="1">
      <alignment horizontal="center"/>
    </xf>
    <xf numFmtId="0" fontId="5" fillId="0" borderId="0" xfId="0" applyFont="1" applyAlignment="1">
      <alignment horizontal="center"/>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36" xfId="0" applyFont="1" applyBorder="1" applyAlignment="1">
      <alignment horizontal="center" vertical="center"/>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48" xfId="0" applyFont="1" applyBorder="1" applyAlignment="1">
      <alignment horizontal="center" vertical="center"/>
    </xf>
    <xf numFmtId="0" fontId="3" fillId="0" borderId="49" xfId="0" applyFont="1" applyBorder="1" applyAlignment="1">
      <alignment horizontal="center" vertical="center"/>
    </xf>
    <xf numFmtId="0" fontId="3" fillId="0" borderId="3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33" xfId="0" applyFont="1" applyBorder="1" applyAlignment="1">
      <alignment horizontal="center" vertical="center"/>
    </xf>
    <xf numFmtId="0" fontId="3" fillId="0" borderId="1" xfId="0" applyFont="1" applyBorder="1" applyAlignment="1">
      <alignment horizontal="center" vertical="center"/>
    </xf>
    <xf numFmtId="0" fontId="3" fillId="0" borderId="40" xfId="0" applyFont="1" applyBorder="1" applyAlignment="1">
      <alignment horizontal="center" vertical="center" wrapText="1"/>
    </xf>
    <xf numFmtId="0" fontId="3" fillId="0" borderId="41" xfId="0" applyFont="1" applyBorder="1" applyAlignment="1">
      <alignment horizontal="center"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36" xfId="0" applyFont="1" applyBorder="1" applyAlignment="1">
      <alignment horizontal="left" vertical="center"/>
    </xf>
    <xf numFmtId="0" fontId="3"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left" vertical="center"/>
    </xf>
    <xf numFmtId="0" fontId="3" fillId="0" borderId="19"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0" xfId="0" applyFont="1" applyAlignment="1">
      <alignment horizontal="justify" vertical="top" wrapText="1"/>
    </xf>
    <xf numFmtId="0" fontId="3" fillId="0" borderId="0" xfId="0" applyFont="1" applyAlignment="1">
      <alignment horizontal="left"/>
    </xf>
    <xf numFmtId="0" fontId="3" fillId="0" borderId="0" xfId="0" applyFont="1" applyAlignment="1">
      <alignment horizontal="left" vertical="top"/>
    </xf>
    <xf numFmtId="0" fontId="7" fillId="0" borderId="0" xfId="1" applyFont="1" applyAlignment="1" applyProtection="1">
      <alignment horizontal="left" vertical="center"/>
    </xf>
    <xf numFmtId="0" fontId="3" fillId="0" borderId="0" xfId="0" applyFont="1" applyAlignment="1">
      <alignment vertical="top" wrapText="1"/>
    </xf>
    <xf numFmtId="49" fontId="3" fillId="0" borderId="0" xfId="0" applyNumberFormat="1" applyFont="1" applyAlignment="1">
      <alignment horizontal="justify" vertical="top" wrapText="1"/>
    </xf>
    <xf numFmtId="0" fontId="0" fillId="0" borderId="0" xfId="0" applyAlignment="1">
      <alignment horizontal="right" vertic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justify" vertical="top" wrapText="1"/>
    </xf>
    <xf numFmtId="0" fontId="0" fillId="6" borderId="0" xfId="0" applyFill="1" applyAlignment="1">
      <alignment horizontal="center" vertical="center"/>
    </xf>
    <xf numFmtId="0" fontId="0" fillId="6" borderId="0" xfId="0" applyFill="1" applyAlignment="1">
      <alignment horizontal="center"/>
    </xf>
    <xf numFmtId="0" fontId="0" fillId="6" borderId="0" xfId="0" applyFill="1" applyAlignment="1">
      <alignment horizontal="justify" vertical="top" wrapText="1"/>
    </xf>
    <xf numFmtId="0" fontId="0" fillId="6" borderId="0" xfId="0" applyFill="1" applyAlignment="1">
      <alignment horizontal="center" vertical="center" wrapText="1"/>
    </xf>
    <xf numFmtId="0" fontId="0" fillId="0" borderId="0" xfId="0" applyAlignment="1">
      <alignment horizontal="right" vertical="top"/>
    </xf>
    <xf numFmtId="0" fontId="0" fillId="0" borderId="0" xfId="0" applyAlignment="1">
      <alignment horizontal="justify" vertical="top"/>
    </xf>
    <xf numFmtId="0" fontId="0" fillId="0" borderId="2" xfId="0" applyBorder="1" applyAlignment="1">
      <alignment horizontal="center" vertical="center"/>
    </xf>
    <xf numFmtId="0" fontId="0" fillId="0" borderId="32" xfId="0" applyBorder="1" applyAlignment="1">
      <alignment horizontal="center" vertical="center"/>
    </xf>
    <xf numFmtId="0" fontId="0" fillId="0" borderId="19" xfId="0" applyBorder="1" applyAlignment="1">
      <alignment horizontal="center" vertical="center"/>
    </xf>
    <xf numFmtId="0" fontId="0" fillId="0" borderId="22" xfId="0" applyBorder="1" applyAlignment="1">
      <alignment horizontal="center" vertical="center"/>
    </xf>
    <xf numFmtId="0" fontId="10" fillId="0" borderId="0" xfId="0" applyFont="1" applyAlignment="1">
      <alignment horizontal="center"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right" vertical="center"/>
    </xf>
    <xf numFmtId="0" fontId="0" fillId="0" borderId="1" xfId="0" applyBorder="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32"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3">
    <cellStyle name="Comma [0]" xfId="2" builtinId="6"/>
    <cellStyle name="Hyperlink" xfId="1" builtinId="8"/>
    <cellStyle name="Normal" xfId="0" builtinId="0"/>
  </cellStyles>
  <dxfs count="0"/>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9</xdr:col>
      <xdr:colOff>707571</xdr:colOff>
      <xdr:row>30</xdr:row>
      <xdr:rowOff>712</xdr:rowOff>
    </xdr:from>
    <xdr:to>
      <xdr:col>10</xdr:col>
      <xdr:colOff>1240029</xdr:colOff>
      <xdr:row>34</xdr:row>
      <xdr:rowOff>2062</xdr:rowOff>
    </xdr:to>
    <xdr:pic>
      <xdr:nvPicPr>
        <xdr:cNvPr id="2" name="Picture 1" descr="TTD Direktur.jpg">
          <a:extLst>
            <a:ext uri="{FF2B5EF4-FFF2-40B4-BE49-F238E27FC236}">
              <a16:creationId xmlns:a16="http://schemas.microsoft.com/office/drawing/2014/main" id="{EE510F64-0CB1-4726-9CBC-204769752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1714" y="7762226"/>
          <a:ext cx="1294458" cy="785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19051</xdr:colOff>
      <xdr:row>12</xdr:row>
      <xdr:rowOff>114300</xdr:rowOff>
    </xdr:from>
    <xdr:to>
      <xdr:col>0</xdr:col>
      <xdr:colOff>285750</xdr:colOff>
      <xdr:row>15</xdr:row>
      <xdr:rowOff>114300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9051" y="4143375"/>
          <a:ext cx="266699" cy="523875"/>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editAs="oneCell">
    <xdr:from>
      <xdr:col>3</xdr:col>
      <xdr:colOff>152400</xdr:colOff>
      <xdr:row>18</xdr:row>
      <xdr:rowOff>104775</xdr:rowOff>
    </xdr:from>
    <xdr:to>
      <xdr:col>6</xdr:col>
      <xdr:colOff>352425</xdr:colOff>
      <xdr:row>23</xdr:row>
      <xdr:rowOff>28575</xdr:rowOff>
    </xdr:to>
    <xdr:pic>
      <xdr:nvPicPr>
        <xdr:cNvPr id="3" name="Picture 2" descr="F:\ttd\ttd copy copy.jpg">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2352675" y="3829050"/>
          <a:ext cx="1343025" cy="9239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44824</xdr:colOff>
      <xdr:row>108</xdr:row>
      <xdr:rowOff>112059</xdr:rowOff>
    </xdr:from>
    <xdr:to>
      <xdr:col>3</xdr:col>
      <xdr:colOff>704290</xdr:colOff>
      <xdr:row>113</xdr:row>
      <xdr:rowOff>83484</xdr:rowOff>
    </xdr:to>
    <xdr:pic>
      <xdr:nvPicPr>
        <xdr:cNvPr id="2" name="Picture 1" descr="F:\ttd\ttd copy copy.jp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44824" y="26759647"/>
          <a:ext cx="1343025" cy="923925"/>
        </a:xfrm>
        <a:prstGeom prst="rect">
          <a:avLst/>
        </a:prstGeom>
        <a:noFill/>
        <a:ln w="9525">
          <a:noFill/>
          <a:miter lim="800000"/>
          <a:headEnd/>
          <a:tailEnd/>
        </a:ln>
      </xdr:spPr>
    </xdr:pic>
    <xdr:clientData/>
  </xdr:twoCellAnchor>
  <xdr:twoCellAnchor editAs="oneCell">
    <xdr:from>
      <xdr:col>11</xdr:col>
      <xdr:colOff>481853</xdr:colOff>
      <xdr:row>108</xdr:row>
      <xdr:rowOff>100853</xdr:rowOff>
    </xdr:from>
    <xdr:to>
      <xdr:col>15</xdr:col>
      <xdr:colOff>603437</xdr:colOff>
      <xdr:row>113</xdr:row>
      <xdr:rowOff>72278</xdr:rowOff>
    </xdr:to>
    <xdr:pic>
      <xdr:nvPicPr>
        <xdr:cNvPr id="3" name="Picture 2" descr="F:\ttd\ttd copy copy.jpg">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6656294" y="26748441"/>
          <a:ext cx="1343025" cy="923925"/>
        </a:xfrm>
        <a:prstGeom prst="rect">
          <a:avLst/>
        </a:prstGeom>
        <a:noFill/>
        <a:ln w="9525">
          <a:noFill/>
          <a:miter lim="800000"/>
          <a:headEnd/>
          <a:tailEnd/>
        </a:ln>
      </xdr:spPr>
    </xdr:pic>
    <xdr:clientData/>
  </xdr:twoCellAnchor>
  <xdr:twoCellAnchor editAs="oneCell">
    <xdr:from>
      <xdr:col>23</xdr:col>
      <xdr:colOff>560294</xdr:colOff>
      <xdr:row>108</xdr:row>
      <xdr:rowOff>100853</xdr:rowOff>
    </xdr:from>
    <xdr:to>
      <xdr:col>27</xdr:col>
      <xdr:colOff>502584</xdr:colOff>
      <xdr:row>113</xdr:row>
      <xdr:rowOff>72278</xdr:rowOff>
    </xdr:to>
    <xdr:pic>
      <xdr:nvPicPr>
        <xdr:cNvPr id="4" name="Picture 3" descr="F:\ttd\ttd copy copy.jp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13222941" y="26748441"/>
          <a:ext cx="1343025" cy="923925"/>
        </a:xfrm>
        <a:prstGeom prst="rect">
          <a:avLst/>
        </a:prstGeom>
        <a:noFill/>
        <a:ln w="9525">
          <a:noFill/>
          <a:miter lim="800000"/>
          <a:headEnd/>
          <a:tailEnd/>
        </a:ln>
      </xdr:spPr>
    </xdr:pic>
    <xdr:clientData/>
  </xdr:twoCellAnchor>
  <xdr:twoCellAnchor editAs="oneCell">
    <xdr:from>
      <xdr:col>36</xdr:col>
      <xdr:colOff>0</xdr:colOff>
      <xdr:row>109</xdr:row>
      <xdr:rowOff>100853</xdr:rowOff>
    </xdr:from>
    <xdr:to>
      <xdr:col>39</xdr:col>
      <xdr:colOff>659466</xdr:colOff>
      <xdr:row>114</xdr:row>
      <xdr:rowOff>72278</xdr:rowOff>
    </xdr:to>
    <xdr:pic>
      <xdr:nvPicPr>
        <xdr:cNvPr id="5" name="Picture 4" descr="F:\ttd\ttd copy copy.jpg">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19924059" y="26938941"/>
          <a:ext cx="1343025" cy="923925"/>
        </a:xfrm>
        <a:prstGeom prst="rect">
          <a:avLst/>
        </a:prstGeom>
        <a:noFill/>
        <a:ln w="9525">
          <a:noFill/>
          <a:miter lim="800000"/>
          <a:headEnd/>
          <a:tailEnd/>
        </a:ln>
      </xdr:spPr>
    </xdr:pic>
    <xdr:clientData/>
  </xdr:twoCellAnchor>
  <xdr:twoCellAnchor editAs="oneCell">
    <xdr:from>
      <xdr:col>48</xdr:col>
      <xdr:colOff>22413</xdr:colOff>
      <xdr:row>109</xdr:row>
      <xdr:rowOff>56029</xdr:rowOff>
    </xdr:from>
    <xdr:to>
      <xdr:col>51</xdr:col>
      <xdr:colOff>659467</xdr:colOff>
      <xdr:row>114</xdr:row>
      <xdr:rowOff>27454</xdr:rowOff>
    </xdr:to>
    <xdr:pic>
      <xdr:nvPicPr>
        <xdr:cNvPr id="6" name="Picture 5" descr="F:\ttd\ttd copy copy.jpg">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clrChange>
            <a:clrFrom>
              <a:srgbClr val="FFFFFF"/>
            </a:clrFrom>
            <a:clrTo>
              <a:srgbClr val="FFFFFF">
                <a:alpha val="0"/>
              </a:srgbClr>
            </a:clrTo>
          </a:clrChange>
        </a:blip>
        <a:srcRect/>
        <a:stretch>
          <a:fillRect/>
        </a:stretch>
      </xdr:blipFill>
      <xdr:spPr bwMode="auto">
        <a:xfrm>
          <a:off x="26557942" y="26894117"/>
          <a:ext cx="1343025" cy="9239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131885</xdr:colOff>
      <xdr:row>0</xdr:row>
      <xdr:rowOff>36635</xdr:rowOff>
    </xdr:from>
    <xdr:to>
      <xdr:col>16</xdr:col>
      <xdr:colOff>177650</xdr:colOff>
      <xdr:row>4</xdr:row>
      <xdr:rowOff>161192</xdr:rowOff>
    </xdr:to>
    <xdr:pic>
      <xdr:nvPicPr>
        <xdr:cNvPr id="2" name="Picture 1" descr="logo agung.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2652347" y="36635"/>
          <a:ext cx="2594068" cy="8865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H82"/>
  <sheetViews>
    <sheetView view="pageBreakPreview" topLeftCell="A19" zoomScale="85" zoomScaleSheetLayoutView="85" workbookViewId="0">
      <selection activeCell="L41" sqref="L41"/>
    </sheetView>
  </sheetViews>
  <sheetFormatPr defaultRowHeight="14.4" x14ac:dyDescent="0.3"/>
  <cols>
    <col min="1" max="1" width="5.44140625" style="57" customWidth="1"/>
    <col min="2" max="2" width="25.109375" customWidth="1"/>
    <col min="3" max="3" width="55.88671875" customWidth="1"/>
    <col min="4" max="4" width="17.5546875" customWidth="1"/>
    <col min="5" max="5" width="19.88671875" customWidth="1"/>
    <col min="6" max="6" width="11.33203125" customWidth="1"/>
    <col min="7" max="7" width="16.109375" customWidth="1"/>
    <col min="8" max="8" width="15.5546875" customWidth="1"/>
    <col min="9" max="9" width="2.88671875" customWidth="1"/>
  </cols>
  <sheetData>
    <row r="2" spans="1:8" ht="15.6" x14ac:dyDescent="0.3">
      <c r="A2" s="28" t="s">
        <v>359</v>
      </c>
      <c r="B2" s="1" t="s">
        <v>10</v>
      </c>
    </row>
    <row r="3" spans="1:8" ht="15" thickBot="1" x14ac:dyDescent="0.35"/>
    <row r="4" spans="1:8" ht="15" thickTop="1" x14ac:dyDescent="0.3">
      <c r="A4" s="151" t="s">
        <v>0</v>
      </c>
      <c r="B4" s="153" t="s">
        <v>7</v>
      </c>
      <c r="C4" s="153" t="s">
        <v>1</v>
      </c>
      <c r="D4" s="153" t="s">
        <v>2</v>
      </c>
      <c r="E4" s="153" t="s">
        <v>3</v>
      </c>
      <c r="F4" s="153" t="s">
        <v>4</v>
      </c>
      <c r="G4" s="153" t="s">
        <v>5</v>
      </c>
      <c r="H4" s="155" t="s">
        <v>6</v>
      </c>
    </row>
    <row r="5" spans="1:8" x14ac:dyDescent="0.3">
      <c r="A5" s="152"/>
      <c r="B5" s="154"/>
      <c r="C5" s="154"/>
      <c r="D5" s="154"/>
      <c r="E5" s="154"/>
      <c r="F5" s="154"/>
      <c r="G5" s="154"/>
      <c r="H5" s="156"/>
    </row>
    <row r="6" spans="1:8" x14ac:dyDescent="0.3">
      <c r="A6" s="7">
        <v>1</v>
      </c>
      <c r="B6" s="4">
        <v>2</v>
      </c>
      <c r="C6" s="4">
        <v>3</v>
      </c>
      <c r="D6" s="4">
        <v>4</v>
      </c>
      <c r="E6" s="4">
        <v>5</v>
      </c>
      <c r="F6" s="4">
        <v>6</v>
      </c>
      <c r="G6" s="4">
        <v>7</v>
      </c>
      <c r="H6" s="8">
        <v>8</v>
      </c>
    </row>
    <row r="7" spans="1:8" ht="15.6" x14ac:dyDescent="0.3">
      <c r="A7" s="102"/>
      <c r="B7" s="5"/>
      <c r="C7" s="5"/>
      <c r="D7" s="5"/>
      <c r="E7" s="5"/>
      <c r="F7" s="5"/>
      <c r="G7" s="5"/>
      <c r="H7" s="9"/>
    </row>
    <row r="8" spans="1:8" ht="31.5" customHeight="1" x14ac:dyDescent="0.3">
      <c r="A8" s="97">
        <v>1</v>
      </c>
      <c r="B8" s="144" t="s">
        <v>271</v>
      </c>
      <c r="C8" s="103" t="s">
        <v>277</v>
      </c>
      <c r="D8" s="150" t="s">
        <v>281</v>
      </c>
      <c r="E8" s="90">
        <v>41388</v>
      </c>
      <c r="F8" s="6"/>
      <c r="G8" s="98">
        <v>36960000</v>
      </c>
      <c r="H8" s="11"/>
    </row>
    <row r="9" spans="1:8" ht="35.25" customHeight="1" x14ac:dyDescent="0.3">
      <c r="A9" s="97"/>
      <c r="B9" s="144"/>
      <c r="C9" s="120" t="s">
        <v>278</v>
      </c>
      <c r="D9" s="150"/>
      <c r="E9" s="46" t="s">
        <v>270</v>
      </c>
      <c r="F9" s="6"/>
      <c r="G9" s="6"/>
      <c r="H9" s="11"/>
    </row>
    <row r="10" spans="1:8" ht="34.5" customHeight="1" x14ac:dyDescent="0.3">
      <c r="A10" s="97"/>
      <c r="B10" s="144"/>
      <c r="C10" s="120" t="s">
        <v>279</v>
      </c>
      <c r="D10" s="150"/>
      <c r="E10" s="90">
        <v>41417</v>
      </c>
      <c r="F10" s="6"/>
      <c r="G10" s="6"/>
      <c r="H10" s="11"/>
    </row>
    <row r="11" spans="1:8" ht="34.5" customHeight="1" x14ac:dyDescent="0.3">
      <c r="A11" s="97"/>
      <c r="B11" s="144"/>
      <c r="C11" s="120" t="s">
        <v>280</v>
      </c>
      <c r="D11" s="150"/>
      <c r="E11" s="90"/>
      <c r="F11" s="6"/>
      <c r="G11" s="6"/>
      <c r="H11" s="11"/>
    </row>
    <row r="12" spans="1:8" ht="15.75" customHeight="1" x14ac:dyDescent="0.3">
      <c r="A12" s="97"/>
      <c r="B12" s="95"/>
      <c r="C12" s="6"/>
      <c r="D12" s="6"/>
      <c r="E12" s="90"/>
      <c r="F12" s="6"/>
      <c r="G12" s="6"/>
      <c r="H12" s="11"/>
    </row>
    <row r="13" spans="1:8" ht="15.75" customHeight="1" x14ac:dyDescent="0.3">
      <c r="A13" s="97">
        <v>2</v>
      </c>
      <c r="B13" s="144" t="s">
        <v>249</v>
      </c>
      <c r="C13" s="99" t="s">
        <v>282</v>
      </c>
      <c r="D13" s="150" t="s">
        <v>281</v>
      </c>
      <c r="E13" s="90">
        <v>41402</v>
      </c>
      <c r="F13" s="6"/>
      <c r="G13" s="121">
        <v>39891000</v>
      </c>
      <c r="H13" s="11"/>
    </row>
    <row r="14" spans="1:8" ht="18" customHeight="1" x14ac:dyDescent="0.3">
      <c r="A14" s="97"/>
      <c r="B14" s="144"/>
      <c r="C14" s="99" t="s">
        <v>283</v>
      </c>
      <c r="D14" s="150"/>
      <c r="E14" s="46" t="s">
        <v>270</v>
      </c>
      <c r="F14" s="6"/>
      <c r="G14" s="6"/>
      <c r="H14" s="11"/>
    </row>
    <row r="15" spans="1:8" ht="15.75" customHeight="1" x14ac:dyDescent="0.3">
      <c r="A15" s="97"/>
      <c r="B15" s="144"/>
      <c r="C15" s="99" t="s">
        <v>284</v>
      </c>
      <c r="D15" s="150"/>
      <c r="E15" s="90">
        <v>41432</v>
      </c>
      <c r="F15" s="6"/>
      <c r="G15" s="6"/>
      <c r="H15" s="11"/>
    </row>
    <row r="16" spans="1:8" ht="17.25" customHeight="1" x14ac:dyDescent="0.3">
      <c r="A16" s="97"/>
      <c r="B16" s="92"/>
      <c r="C16" s="96"/>
      <c r="D16" s="48"/>
      <c r="E16" s="6"/>
      <c r="F16" s="6"/>
      <c r="G16" s="6"/>
      <c r="H16" s="11"/>
    </row>
    <row r="17" spans="1:8" ht="17.25" customHeight="1" x14ac:dyDescent="0.3">
      <c r="A17" s="97">
        <v>3</v>
      </c>
      <c r="B17" s="144" t="s">
        <v>249</v>
      </c>
      <c r="C17" s="96" t="s">
        <v>285</v>
      </c>
      <c r="D17" s="150" t="s">
        <v>281</v>
      </c>
      <c r="E17" s="90">
        <v>41359</v>
      </c>
      <c r="F17" s="6"/>
      <c r="G17" s="121">
        <v>44533000</v>
      </c>
      <c r="H17" s="11"/>
    </row>
    <row r="18" spans="1:8" ht="17.25" customHeight="1" x14ac:dyDescent="0.3">
      <c r="A18" s="97"/>
      <c r="B18" s="144"/>
      <c r="C18" s="96" t="s">
        <v>286</v>
      </c>
      <c r="D18" s="150"/>
      <c r="E18" s="46" t="s">
        <v>270</v>
      </c>
      <c r="F18" s="6"/>
      <c r="G18" s="6"/>
      <c r="H18" s="11"/>
    </row>
    <row r="19" spans="1:8" ht="33.75" customHeight="1" x14ac:dyDescent="0.3">
      <c r="A19" s="97"/>
      <c r="B19" s="144"/>
      <c r="C19" s="96" t="s">
        <v>287</v>
      </c>
      <c r="D19" s="150"/>
      <c r="E19" s="90">
        <v>41388</v>
      </c>
      <c r="F19" s="6"/>
      <c r="G19" s="6"/>
      <c r="H19" s="11"/>
    </row>
    <row r="20" spans="1:8" ht="17.25" customHeight="1" x14ac:dyDescent="0.3">
      <c r="A20" s="97"/>
      <c r="B20" s="144"/>
      <c r="C20" s="96" t="s">
        <v>288</v>
      </c>
      <c r="D20" s="150"/>
      <c r="E20" s="6"/>
      <c r="F20" s="6"/>
      <c r="G20" s="6"/>
      <c r="H20" s="11"/>
    </row>
    <row r="21" spans="1:8" ht="33" customHeight="1" x14ac:dyDescent="0.3">
      <c r="A21" s="97"/>
      <c r="B21" s="144"/>
      <c r="C21" s="96" t="s">
        <v>289</v>
      </c>
      <c r="D21" s="150"/>
      <c r="E21" s="6"/>
      <c r="F21" s="6"/>
      <c r="G21" s="6"/>
      <c r="H21" s="11"/>
    </row>
    <row r="22" spans="1:8" ht="36" customHeight="1" x14ac:dyDescent="0.3">
      <c r="A22" s="97"/>
      <c r="B22" s="144"/>
      <c r="C22" s="96" t="s">
        <v>290</v>
      </c>
      <c r="D22" s="150"/>
      <c r="E22" s="6"/>
      <c r="F22" s="6"/>
      <c r="G22" s="6"/>
      <c r="H22" s="11"/>
    </row>
    <row r="23" spans="1:8" ht="17.25" customHeight="1" x14ac:dyDescent="0.3">
      <c r="A23" s="97"/>
      <c r="B23" s="144"/>
      <c r="C23" s="96" t="s">
        <v>291</v>
      </c>
      <c r="D23" s="150"/>
      <c r="E23" s="90"/>
      <c r="F23" s="6"/>
      <c r="G23" s="98"/>
      <c r="H23" s="11"/>
    </row>
    <row r="24" spans="1:8" ht="32.25" customHeight="1" x14ac:dyDescent="0.3">
      <c r="A24" s="97"/>
      <c r="B24" s="144"/>
      <c r="C24" s="96" t="s">
        <v>292</v>
      </c>
      <c r="D24" s="150"/>
      <c r="E24" s="90"/>
      <c r="F24" s="6"/>
      <c r="G24" s="6"/>
      <c r="H24" s="11"/>
    </row>
    <row r="25" spans="1:8" ht="17.25" customHeight="1" x14ac:dyDescent="0.3">
      <c r="A25" s="97"/>
      <c r="B25" s="144"/>
      <c r="C25" s="96" t="s">
        <v>293</v>
      </c>
      <c r="D25" s="150"/>
      <c r="E25" s="6"/>
      <c r="F25" s="6"/>
      <c r="G25" s="6"/>
      <c r="H25" s="11"/>
    </row>
    <row r="26" spans="1:8" ht="17.25" customHeight="1" x14ac:dyDescent="0.3">
      <c r="A26" s="97"/>
      <c r="B26" s="144"/>
      <c r="C26" s="96" t="s">
        <v>294</v>
      </c>
      <c r="D26" s="150"/>
      <c r="E26" s="6"/>
      <c r="F26" s="6"/>
      <c r="G26" s="6"/>
      <c r="H26" s="11"/>
    </row>
    <row r="27" spans="1:8" ht="17.25" customHeight="1" x14ac:dyDescent="0.3">
      <c r="A27" s="97"/>
      <c r="B27" s="144"/>
      <c r="C27" s="96" t="s">
        <v>295</v>
      </c>
      <c r="D27" s="150"/>
      <c r="E27" s="6"/>
      <c r="F27" s="6"/>
      <c r="G27" s="6"/>
      <c r="H27" s="11"/>
    </row>
    <row r="28" spans="1:8" ht="17.25" customHeight="1" x14ac:dyDescent="0.3">
      <c r="A28" s="97"/>
      <c r="B28" s="92"/>
      <c r="C28" s="96"/>
      <c r="D28" s="48"/>
      <c r="E28" s="6"/>
      <c r="F28" s="6"/>
      <c r="G28" s="6"/>
      <c r="H28" s="11"/>
    </row>
    <row r="29" spans="1:8" ht="17.25" customHeight="1" x14ac:dyDescent="0.3">
      <c r="A29" s="97">
        <v>4</v>
      </c>
      <c r="B29" s="144" t="s">
        <v>249</v>
      </c>
      <c r="C29" s="96" t="s">
        <v>296</v>
      </c>
      <c r="D29" s="150" t="s">
        <v>281</v>
      </c>
      <c r="E29" s="90">
        <v>41715</v>
      </c>
      <c r="F29" s="6"/>
      <c r="G29" s="98">
        <v>10252000</v>
      </c>
      <c r="H29" s="11"/>
    </row>
    <row r="30" spans="1:8" ht="18.75" customHeight="1" x14ac:dyDescent="0.3">
      <c r="A30" s="97"/>
      <c r="B30" s="144"/>
      <c r="C30" s="96" t="s">
        <v>297</v>
      </c>
      <c r="D30" s="150"/>
      <c r="E30" s="46" t="s">
        <v>270</v>
      </c>
      <c r="F30" s="6"/>
      <c r="G30" s="6"/>
      <c r="H30" s="11"/>
    </row>
    <row r="31" spans="1:8" ht="37.5" customHeight="1" x14ac:dyDescent="0.3">
      <c r="A31" s="97"/>
      <c r="B31" s="144"/>
      <c r="C31" s="96"/>
      <c r="D31" s="48"/>
      <c r="E31" s="90">
        <v>41744</v>
      </c>
      <c r="F31" s="6"/>
      <c r="G31" s="6"/>
      <c r="H31" s="11"/>
    </row>
    <row r="32" spans="1:8" ht="17.25" customHeight="1" x14ac:dyDescent="0.3">
      <c r="A32" s="97"/>
      <c r="B32" s="95"/>
      <c r="C32" s="96"/>
      <c r="D32" s="99"/>
      <c r="E32" s="6"/>
      <c r="F32" s="6"/>
      <c r="G32" s="6"/>
      <c r="H32" s="11"/>
    </row>
    <row r="33" spans="1:8" ht="17.25" customHeight="1" x14ac:dyDescent="0.3">
      <c r="A33" s="97"/>
      <c r="B33" s="92"/>
      <c r="C33" s="96"/>
      <c r="D33" s="48"/>
      <c r="E33" s="6"/>
      <c r="F33" s="6"/>
      <c r="G33" s="6"/>
      <c r="H33" s="11"/>
    </row>
    <row r="34" spans="1:8" ht="17.25" customHeight="1" x14ac:dyDescent="0.3">
      <c r="A34" s="97">
        <v>6</v>
      </c>
      <c r="B34" s="144" t="s">
        <v>249</v>
      </c>
      <c r="C34" s="96" t="s">
        <v>298</v>
      </c>
      <c r="D34" s="150" t="s">
        <v>281</v>
      </c>
      <c r="E34" s="90">
        <v>41715</v>
      </c>
      <c r="F34" s="6"/>
      <c r="G34" s="98">
        <v>19046000</v>
      </c>
      <c r="H34" s="11"/>
    </row>
    <row r="35" spans="1:8" ht="17.25" customHeight="1" x14ac:dyDescent="0.3">
      <c r="A35" s="97"/>
      <c r="B35" s="144"/>
      <c r="C35" s="99" t="s">
        <v>299</v>
      </c>
      <c r="D35" s="150"/>
      <c r="E35" s="46" t="s">
        <v>270</v>
      </c>
      <c r="F35" s="6"/>
      <c r="G35" s="6"/>
      <c r="H35" s="11"/>
    </row>
    <row r="36" spans="1:8" ht="17.25" customHeight="1" x14ac:dyDescent="0.3">
      <c r="A36" s="97"/>
      <c r="B36" s="144"/>
      <c r="C36" s="96"/>
      <c r="D36" s="150"/>
      <c r="E36" s="90">
        <v>41744</v>
      </c>
      <c r="F36" s="6"/>
      <c r="G36" s="6"/>
      <c r="H36" s="11"/>
    </row>
    <row r="37" spans="1:8" ht="17.25" customHeight="1" x14ac:dyDescent="0.3">
      <c r="A37" s="97"/>
      <c r="B37" s="92"/>
      <c r="C37" s="96"/>
      <c r="D37" s="48"/>
      <c r="E37" s="90"/>
      <c r="F37" s="6"/>
      <c r="G37" s="6"/>
      <c r="H37" s="11"/>
    </row>
    <row r="38" spans="1:8" ht="15.6" x14ac:dyDescent="0.3">
      <c r="A38" s="97"/>
      <c r="B38" s="6"/>
      <c r="C38" s="6"/>
      <c r="D38" s="6"/>
      <c r="E38" s="6"/>
      <c r="F38" s="6"/>
      <c r="G38" s="6"/>
      <c r="H38" s="11"/>
    </row>
    <row r="39" spans="1:8" ht="15.75" customHeight="1" x14ac:dyDescent="0.3">
      <c r="A39" s="10">
        <v>7</v>
      </c>
      <c r="B39" s="144" t="s">
        <v>300</v>
      </c>
      <c r="C39" s="148" t="s">
        <v>303</v>
      </c>
      <c r="D39" s="146" t="s">
        <v>281</v>
      </c>
      <c r="E39" s="90">
        <v>41918</v>
      </c>
      <c r="F39" s="6"/>
      <c r="G39" s="93">
        <v>39990000</v>
      </c>
      <c r="H39" s="11"/>
    </row>
    <row r="40" spans="1:8" ht="15.75" customHeight="1" x14ac:dyDescent="0.3">
      <c r="A40" s="10"/>
      <c r="B40" s="144"/>
      <c r="C40" s="148"/>
      <c r="D40" s="146"/>
      <c r="E40" s="90" t="s">
        <v>270</v>
      </c>
      <c r="F40" s="6"/>
      <c r="G40" s="93"/>
      <c r="H40" s="11"/>
    </row>
    <row r="41" spans="1:8" ht="15.75" customHeight="1" thickBot="1" x14ac:dyDescent="0.35">
      <c r="A41" s="101"/>
      <c r="B41" s="145"/>
      <c r="C41" s="149"/>
      <c r="D41" s="147"/>
      <c r="E41" s="133">
        <v>41948</v>
      </c>
      <c r="F41" s="13"/>
      <c r="G41" s="134"/>
      <c r="H41" s="14"/>
    </row>
    <row r="42" spans="1:8" ht="15.75" customHeight="1" thickTop="1" x14ac:dyDescent="0.3">
      <c r="A42" s="135"/>
      <c r="B42" s="136"/>
      <c r="C42" s="137"/>
      <c r="D42" s="138"/>
      <c r="E42" s="139"/>
      <c r="F42" s="140"/>
      <c r="G42" s="141"/>
      <c r="H42" s="142"/>
    </row>
    <row r="43" spans="1:8" ht="15.75" customHeight="1" x14ac:dyDescent="0.3">
      <c r="A43" s="10"/>
      <c r="B43" s="95"/>
      <c r="C43" s="94"/>
      <c r="D43" s="96"/>
      <c r="E43" s="100"/>
      <c r="F43" s="6"/>
      <c r="G43" s="93"/>
      <c r="H43" s="11"/>
    </row>
    <row r="44" spans="1:8" ht="15.75" customHeight="1" x14ac:dyDescent="0.3">
      <c r="A44" s="10">
        <v>8</v>
      </c>
      <c r="B44" s="144" t="s">
        <v>300</v>
      </c>
      <c r="C44" s="157" t="s">
        <v>302</v>
      </c>
      <c r="D44" s="146" t="s">
        <v>281</v>
      </c>
      <c r="E44" s="90">
        <v>41918</v>
      </c>
      <c r="F44" s="6"/>
      <c r="G44" s="93">
        <v>39970000</v>
      </c>
      <c r="H44" s="11"/>
    </row>
    <row r="45" spans="1:8" ht="15.75" customHeight="1" x14ac:dyDescent="0.3">
      <c r="A45" s="10"/>
      <c r="B45" s="144"/>
      <c r="C45" s="157"/>
      <c r="D45" s="146"/>
      <c r="E45" s="90" t="s">
        <v>270</v>
      </c>
      <c r="F45" s="6"/>
      <c r="G45" s="93"/>
      <c r="H45" s="11"/>
    </row>
    <row r="46" spans="1:8" ht="15.75" customHeight="1" x14ac:dyDescent="0.3">
      <c r="A46" s="10"/>
      <c r="B46" s="144"/>
      <c r="C46" s="157"/>
      <c r="D46" s="146"/>
      <c r="E46" s="90">
        <v>41948</v>
      </c>
      <c r="F46" s="6"/>
      <c r="G46" s="93"/>
      <c r="H46" s="11"/>
    </row>
    <row r="47" spans="1:8" ht="15.75" customHeight="1" x14ac:dyDescent="0.3">
      <c r="A47" s="10"/>
      <c r="B47" s="92"/>
      <c r="C47" s="122"/>
      <c r="D47" s="108"/>
      <c r="E47" s="123"/>
      <c r="F47" s="6"/>
      <c r="G47" s="93"/>
      <c r="H47" s="11"/>
    </row>
    <row r="48" spans="1:8" ht="15.75" customHeight="1" x14ac:dyDescent="0.3">
      <c r="A48" s="10"/>
      <c r="B48" s="95"/>
      <c r="C48" s="94"/>
      <c r="D48" s="96"/>
      <c r="F48" s="6"/>
      <c r="G48" s="93"/>
      <c r="H48" s="11"/>
    </row>
    <row r="49" spans="1:8" ht="15.75" customHeight="1" x14ac:dyDescent="0.3">
      <c r="A49" s="97">
        <v>9</v>
      </c>
      <c r="B49" s="158" t="s">
        <v>300</v>
      </c>
      <c r="C49" s="148" t="s">
        <v>304</v>
      </c>
      <c r="D49" s="150" t="s">
        <v>281</v>
      </c>
      <c r="E49" s="90">
        <v>41918</v>
      </c>
      <c r="F49" s="6"/>
      <c r="G49" s="93">
        <v>18000000</v>
      </c>
      <c r="H49" s="11"/>
    </row>
    <row r="50" spans="1:8" ht="15.6" x14ac:dyDescent="0.3">
      <c r="A50" s="97"/>
      <c r="B50" s="158"/>
      <c r="C50" s="148"/>
      <c r="D50" s="150"/>
      <c r="E50" s="90" t="s">
        <v>270</v>
      </c>
      <c r="F50" s="6"/>
      <c r="G50" s="6"/>
      <c r="H50" s="11"/>
    </row>
    <row r="51" spans="1:8" ht="15.6" x14ac:dyDescent="0.3">
      <c r="A51" s="97"/>
      <c r="B51" s="158"/>
      <c r="C51" s="148"/>
      <c r="D51" s="150"/>
      <c r="E51" s="90">
        <v>41948</v>
      </c>
      <c r="F51" s="6"/>
      <c r="G51" s="6"/>
      <c r="H51" s="11"/>
    </row>
    <row r="52" spans="1:8" ht="15.6" x14ac:dyDescent="0.3">
      <c r="A52" s="97"/>
      <c r="B52" s="131"/>
      <c r="C52" s="130"/>
      <c r="D52" s="48"/>
      <c r="E52" s="123"/>
      <c r="F52" s="6"/>
      <c r="G52" s="6"/>
      <c r="H52" s="11"/>
    </row>
    <row r="53" spans="1:8" ht="15.6" x14ac:dyDescent="0.3">
      <c r="A53" s="97" t="s">
        <v>254</v>
      </c>
      <c r="B53" s="144" t="s">
        <v>249</v>
      </c>
      <c r="C53" s="130" t="s">
        <v>349</v>
      </c>
      <c r="D53" s="150" t="s">
        <v>281</v>
      </c>
      <c r="E53" s="90">
        <v>41918</v>
      </c>
      <c r="F53" s="6"/>
      <c r="G53" s="132">
        <v>49720000</v>
      </c>
      <c r="H53" s="11"/>
    </row>
    <row r="54" spans="1:8" ht="15.6" x14ac:dyDescent="0.3">
      <c r="A54" s="97"/>
      <c r="B54" s="144"/>
      <c r="C54" s="130"/>
      <c r="D54" s="150"/>
      <c r="E54" s="90" t="s">
        <v>270</v>
      </c>
      <c r="F54" s="6"/>
      <c r="G54" s="6"/>
      <c r="H54" s="11"/>
    </row>
    <row r="55" spans="1:8" ht="15.6" x14ac:dyDescent="0.3">
      <c r="A55" s="97"/>
      <c r="B55" s="144"/>
      <c r="C55" s="130"/>
      <c r="D55" s="150"/>
      <c r="E55" s="90">
        <v>41944</v>
      </c>
      <c r="F55" s="6"/>
      <c r="G55" s="6"/>
      <c r="H55" s="11"/>
    </row>
    <row r="56" spans="1:8" ht="15.6" x14ac:dyDescent="0.3">
      <c r="A56" s="97"/>
      <c r="B56" s="131"/>
      <c r="C56" s="130"/>
      <c r="D56" s="48"/>
      <c r="E56" s="123"/>
      <c r="F56" s="6"/>
      <c r="G56" s="6"/>
      <c r="H56" s="11"/>
    </row>
    <row r="57" spans="1:8" ht="15.6" x14ac:dyDescent="0.3">
      <c r="A57" s="97" t="s">
        <v>350</v>
      </c>
      <c r="B57" s="144" t="s">
        <v>249</v>
      </c>
      <c r="C57" s="130" t="s">
        <v>351</v>
      </c>
      <c r="D57" s="150" t="s">
        <v>281</v>
      </c>
      <c r="E57" s="90">
        <v>41926</v>
      </c>
      <c r="F57" s="6"/>
      <c r="G57" s="132">
        <v>49720000</v>
      </c>
      <c r="H57" s="11"/>
    </row>
    <row r="58" spans="1:8" ht="15.6" x14ac:dyDescent="0.3">
      <c r="A58" s="97"/>
      <c r="B58" s="144"/>
      <c r="C58" s="130"/>
      <c r="D58" s="150"/>
      <c r="E58" s="90" t="s">
        <v>270</v>
      </c>
      <c r="F58" s="6"/>
      <c r="G58" s="6"/>
      <c r="H58" s="11"/>
    </row>
    <row r="59" spans="1:8" ht="15.6" x14ac:dyDescent="0.3">
      <c r="A59" s="97"/>
      <c r="B59" s="144"/>
      <c r="C59" s="130"/>
      <c r="D59" s="150"/>
      <c r="E59" s="90">
        <v>41956</v>
      </c>
      <c r="F59" s="6"/>
      <c r="G59" s="6"/>
      <c r="H59" s="11"/>
    </row>
    <row r="60" spans="1:8" ht="15.6" x14ac:dyDescent="0.3">
      <c r="A60" s="97"/>
      <c r="B60" s="92"/>
      <c r="C60" s="130"/>
      <c r="D60" s="48"/>
      <c r="E60" s="123"/>
      <c r="F60" s="6"/>
      <c r="G60" s="6"/>
      <c r="H60" s="11"/>
    </row>
    <row r="61" spans="1:8" ht="15.6" x14ac:dyDescent="0.3">
      <c r="A61" s="97" t="s">
        <v>352</v>
      </c>
      <c r="B61" s="144" t="s">
        <v>249</v>
      </c>
      <c r="C61" s="130" t="s">
        <v>353</v>
      </c>
      <c r="D61" s="150" t="s">
        <v>281</v>
      </c>
      <c r="E61" s="90">
        <v>41932</v>
      </c>
      <c r="F61" s="6"/>
      <c r="G61" s="132">
        <v>49720000</v>
      </c>
      <c r="H61" s="11"/>
    </row>
    <row r="62" spans="1:8" ht="15.6" x14ac:dyDescent="0.3">
      <c r="A62" s="97"/>
      <c r="B62" s="144"/>
      <c r="C62" s="130"/>
      <c r="D62" s="150"/>
      <c r="E62" s="90" t="s">
        <v>270</v>
      </c>
      <c r="F62" s="6"/>
      <c r="G62" s="6"/>
      <c r="H62" s="11"/>
    </row>
    <row r="63" spans="1:8" ht="15.6" x14ac:dyDescent="0.3">
      <c r="A63" s="97"/>
      <c r="B63" s="144"/>
      <c r="C63" s="130"/>
      <c r="D63" s="150"/>
      <c r="E63" s="90">
        <v>41962</v>
      </c>
      <c r="F63" s="6"/>
      <c r="G63" s="6"/>
      <c r="H63" s="11"/>
    </row>
    <row r="64" spans="1:8" ht="15.6" x14ac:dyDescent="0.3">
      <c r="A64" s="97"/>
      <c r="B64" s="92"/>
      <c r="C64" s="130"/>
      <c r="D64" s="48"/>
      <c r="E64" s="123"/>
      <c r="F64" s="6"/>
      <c r="G64" s="6"/>
      <c r="H64" s="11"/>
    </row>
    <row r="65" spans="1:8" ht="15.6" x14ac:dyDescent="0.3">
      <c r="A65" s="97" t="s">
        <v>354</v>
      </c>
      <c r="B65" s="144" t="s">
        <v>249</v>
      </c>
      <c r="C65" s="130" t="s">
        <v>355</v>
      </c>
      <c r="D65" s="150" t="s">
        <v>281</v>
      </c>
      <c r="E65" s="90">
        <v>41914</v>
      </c>
      <c r="F65" s="6"/>
      <c r="G65" s="132">
        <v>49720000</v>
      </c>
      <c r="H65" s="11"/>
    </row>
    <row r="66" spans="1:8" ht="15.6" x14ac:dyDescent="0.3">
      <c r="A66" s="97"/>
      <c r="B66" s="144"/>
      <c r="C66" s="130"/>
      <c r="D66" s="150"/>
      <c r="E66" s="90" t="s">
        <v>270</v>
      </c>
      <c r="F66" s="6"/>
      <c r="G66" s="6"/>
      <c r="H66" s="11"/>
    </row>
    <row r="67" spans="1:8" ht="15.6" x14ac:dyDescent="0.3">
      <c r="A67" s="97"/>
      <c r="B67" s="144"/>
      <c r="C67" s="130"/>
      <c r="D67" s="150"/>
      <c r="E67" s="90">
        <v>41944</v>
      </c>
      <c r="F67" s="6"/>
      <c r="G67" s="6"/>
      <c r="H67" s="11"/>
    </row>
    <row r="68" spans="1:8" ht="15.6" x14ac:dyDescent="0.3">
      <c r="A68" s="97"/>
      <c r="B68" s="131"/>
      <c r="C68" s="130"/>
      <c r="D68" s="48"/>
      <c r="E68" s="123"/>
      <c r="F68" s="6"/>
      <c r="G68" s="6"/>
      <c r="H68" s="11"/>
    </row>
    <row r="69" spans="1:8" ht="15.6" x14ac:dyDescent="0.3">
      <c r="A69" s="97" t="s">
        <v>356</v>
      </c>
      <c r="B69" s="144" t="s">
        <v>249</v>
      </c>
      <c r="C69" s="130" t="s">
        <v>357</v>
      </c>
      <c r="D69" s="150" t="s">
        <v>281</v>
      </c>
      <c r="E69" s="90">
        <v>41932</v>
      </c>
      <c r="F69" s="6"/>
      <c r="G69" s="132">
        <v>49720000</v>
      </c>
      <c r="H69" s="11"/>
    </row>
    <row r="70" spans="1:8" ht="15.6" x14ac:dyDescent="0.3">
      <c r="A70" s="97"/>
      <c r="B70" s="144"/>
      <c r="C70" s="130"/>
      <c r="D70" s="150"/>
      <c r="E70" s="90" t="s">
        <v>270</v>
      </c>
      <c r="F70" s="6"/>
      <c r="G70" s="6"/>
      <c r="H70" s="11"/>
    </row>
    <row r="71" spans="1:8" ht="15.6" x14ac:dyDescent="0.3">
      <c r="A71" s="97"/>
      <c r="B71" s="144"/>
      <c r="C71" s="130"/>
      <c r="D71" s="150"/>
      <c r="E71" s="90">
        <v>41962</v>
      </c>
      <c r="F71" s="6"/>
      <c r="G71" s="6"/>
      <c r="H71" s="11"/>
    </row>
    <row r="72" spans="1:8" ht="16.2" thickBot="1" x14ac:dyDescent="0.35">
      <c r="A72" s="101"/>
      <c r="B72" s="13"/>
      <c r="C72" s="13"/>
      <c r="D72" s="13"/>
      <c r="E72" s="13"/>
      <c r="F72" s="13"/>
      <c r="G72" s="13"/>
      <c r="H72" s="14"/>
    </row>
    <row r="73" spans="1:8" ht="16.2" thickTop="1" x14ac:dyDescent="0.3">
      <c r="A73" s="29"/>
      <c r="B73" s="2"/>
      <c r="C73" s="2"/>
      <c r="D73" s="2"/>
      <c r="E73" s="2"/>
      <c r="F73" s="2"/>
      <c r="G73" s="2"/>
      <c r="H73" s="2"/>
    </row>
    <row r="74" spans="1:8" ht="15.6" x14ac:dyDescent="0.3">
      <c r="A74" s="29"/>
      <c r="B74" s="2"/>
      <c r="C74" s="2"/>
      <c r="D74" s="2"/>
      <c r="E74" s="2"/>
      <c r="F74" s="2"/>
      <c r="G74" s="41" t="s">
        <v>358</v>
      </c>
      <c r="H74" s="41"/>
    </row>
    <row r="75" spans="1:8" ht="15.6" x14ac:dyDescent="0.3">
      <c r="A75" s="29"/>
      <c r="B75" s="2"/>
      <c r="C75" s="2"/>
      <c r="D75" s="2"/>
      <c r="E75" s="2"/>
      <c r="G75" s="29" t="s">
        <v>266</v>
      </c>
    </row>
    <row r="76" spans="1:8" ht="15.6" x14ac:dyDescent="0.3">
      <c r="A76" s="29"/>
      <c r="B76" s="2"/>
      <c r="C76" s="2"/>
      <c r="D76" s="2"/>
      <c r="E76" s="2"/>
      <c r="G76" s="29"/>
    </row>
    <row r="77" spans="1:8" ht="15.6" x14ac:dyDescent="0.3">
      <c r="A77" s="29"/>
      <c r="B77" s="2"/>
      <c r="C77" s="2"/>
      <c r="D77" s="2"/>
      <c r="E77" s="2"/>
      <c r="G77" s="29"/>
    </row>
    <row r="78" spans="1:8" x14ac:dyDescent="0.3">
      <c r="G78" s="40"/>
    </row>
    <row r="79" spans="1:8" x14ac:dyDescent="0.3">
      <c r="G79" s="40"/>
    </row>
    <row r="80" spans="1:8" ht="15.6" x14ac:dyDescent="0.3">
      <c r="G80" s="30" t="s">
        <v>269</v>
      </c>
    </row>
    <row r="81" spans="7:7" ht="15.6" x14ac:dyDescent="0.3">
      <c r="G81" s="28" t="s">
        <v>9</v>
      </c>
    </row>
    <row r="82" spans="7:7" x14ac:dyDescent="0.3">
      <c r="G82" s="40"/>
    </row>
  </sheetData>
  <mergeCells count="37">
    <mergeCell ref="B65:B67"/>
    <mergeCell ref="D65:D67"/>
    <mergeCell ref="B69:B71"/>
    <mergeCell ref="D69:D71"/>
    <mergeCell ref="B53:B55"/>
    <mergeCell ref="D53:D55"/>
    <mergeCell ref="B57:B59"/>
    <mergeCell ref="D57:D59"/>
    <mergeCell ref="B61:B63"/>
    <mergeCell ref="D61:D63"/>
    <mergeCell ref="D49:D51"/>
    <mergeCell ref="B44:B46"/>
    <mergeCell ref="C44:C46"/>
    <mergeCell ref="C49:C51"/>
    <mergeCell ref="B49:B51"/>
    <mergeCell ref="G4:G5"/>
    <mergeCell ref="H4:H5"/>
    <mergeCell ref="F4:F5"/>
    <mergeCell ref="D8:D11"/>
    <mergeCell ref="D44:D46"/>
    <mergeCell ref="D29:D30"/>
    <mergeCell ref="D34:D36"/>
    <mergeCell ref="A4:A5"/>
    <mergeCell ref="B4:B5"/>
    <mergeCell ref="C4:C5"/>
    <mergeCell ref="D4:D5"/>
    <mergeCell ref="E4:E5"/>
    <mergeCell ref="B8:B11"/>
    <mergeCell ref="D13:D15"/>
    <mergeCell ref="B17:B27"/>
    <mergeCell ref="D17:D27"/>
    <mergeCell ref="B29:B31"/>
    <mergeCell ref="B34:B36"/>
    <mergeCell ref="B13:B15"/>
    <mergeCell ref="B39:B41"/>
    <mergeCell ref="D39:D41"/>
    <mergeCell ref="C39:C41"/>
  </mergeCells>
  <pageMargins left="1.65" right="0.27559055118110237" top="0.74803149606299213" bottom="0.74803149606299213" header="0.31496062992125984" footer="0.31496062992125984"/>
  <pageSetup paperSize="9" scale="60" orientation="landscape" horizontalDpi="4294967293" verticalDpi="4294967293" r:id="rId1"/>
  <rowBreaks count="1" manualBreakCount="1">
    <brk id="4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W210"/>
  <sheetViews>
    <sheetView view="pageBreakPreview" topLeftCell="A155" zoomScaleNormal="70" zoomScaleSheetLayoutView="100" workbookViewId="0">
      <selection activeCell="A183" sqref="A183:P210"/>
    </sheetView>
  </sheetViews>
  <sheetFormatPr defaultRowHeight="15.6" x14ac:dyDescent="0.3"/>
  <cols>
    <col min="1" max="1" width="4.109375" style="2" customWidth="1"/>
    <col min="2" max="2" width="4.6640625" style="2" customWidth="1"/>
    <col min="3" max="3" width="5.33203125" style="2" customWidth="1"/>
    <col min="4" max="4" width="9.109375" style="2"/>
    <col min="5" max="5" width="14.109375" style="2" customWidth="1"/>
    <col min="6" max="6" width="2.44140625" style="2" customWidth="1"/>
    <col min="7" max="7" width="6.6640625" style="2" customWidth="1"/>
    <col min="8" max="8" width="3.88671875" style="2" customWidth="1"/>
    <col min="9" max="9" width="4" style="2" customWidth="1"/>
    <col min="10" max="11" width="9.109375" style="2"/>
    <col min="12" max="12" width="4.5546875" style="2" customWidth="1"/>
    <col min="13" max="13" width="2.88671875" style="2" customWidth="1"/>
    <col min="14" max="15" width="9.109375" style="2"/>
    <col min="16" max="16" width="12.109375" style="2" customWidth="1"/>
    <col min="17" max="17" width="9.109375" style="2"/>
    <col min="18" max="23" width="9.109375" style="15"/>
  </cols>
  <sheetData>
    <row r="1" spans="1:16" ht="24.9" customHeight="1" x14ac:dyDescent="0.3">
      <c r="A1" s="167" t="s">
        <v>251</v>
      </c>
      <c r="B1" s="167"/>
      <c r="C1" s="167"/>
      <c r="D1" s="167"/>
      <c r="E1" s="167"/>
      <c r="F1" s="167"/>
      <c r="G1" s="167"/>
      <c r="H1" s="167"/>
      <c r="I1" s="167"/>
      <c r="J1" s="167"/>
      <c r="K1" s="167"/>
      <c r="L1" s="167"/>
      <c r="M1" s="167"/>
      <c r="N1" s="167"/>
      <c r="O1" s="167"/>
      <c r="P1" s="167"/>
    </row>
    <row r="2" spans="1:16" ht="24.9" customHeight="1" x14ac:dyDescent="0.3">
      <c r="A2" s="168" t="s">
        <v>252</v>
      </c>
      <c r="B2" s="168"/>
      <c r="C2" s="168"/>
      <c r="D2" s="168"/>
      <c r="E2" s="168"/>
      <c r="F2" s="168"/>
      <c r="G2" s="168"/>
      <c r="H2" s="168"/>
      <c r="I2" s="168"/>
      <c r="J2" s="168"/>
      <c r="K2" s="168"/>
      <c r="L2" s="168"/>
      <c r="M2" s="168"/>
      <c r="N2" s="168"/>
      <c r="O2" s="168"/>
      <c r="P2" s="168"/>
    </row>
    <row r="3" spans="1:16" ht="24.9" customHeight="1" x14ac:dyDescent="0.3">
      <c r="A3" s="16" t="s">
        <v>12</v>
      </c>
      <c r="B3" s="17" t="s">
        <v>19</v>
      </c>
      <c r="C3" s="17"/>
      <c r="D3" s="17"/>
      <c r="E3" s="17"/>
      <c r="F3" s="18" t="s">
        <v>35</v>
      </c>
      <c r="G3" s="17" t="s">
        <v>271</v>
      </c>
      <c r="H3" s="17"/>
      <c r="I3" s="17"/>
      <c r="J3" s="17"/>
      <c r="K3" s="17"/>
      <c r="L3" s="17"/>
      <c r="M3" s="17"/>
      <c r="N3" s="17"/>
      <c r="O3" s="17"/>
      <c r="P3" s="19"/>
    </row>
    <row r="4" spans="1:16" ht="76.5" customHeight="1" x14ac:dyDescent="0.3">
      <c r="A4" s="50" t="s">
        <v>13</v>
      </c>
      <c r="B4" s="51" t="s">
        <v>1</v>
      </c>
      <c r="C4" s="51"/>
      <c r="D4" s="51"/>
      <c r="E4" s="51"/>
      <c r="F4" s="52" t="s">
        <v>35</v>
      </c>
      <c r="G4" s="169" t="s">
        <v>305</v>
      </c>
      <c r="H4" s="169"/>
      <c r="I4" s="169"/>
      <c r="J4" s="169"/>
      <c r="K4" s="169"/>
      <c r="L4" s="169"/>
      <c r="M4" s="169"/>
      <c r="N4" s="169"/>
      <c r="O4" s="169"/>
      <c r="P4" s="170"/>
    </row>
    <row r="5" spans="1:16" ht="24.9" customHeight="1" x14ac:dyDescent="0.3">
      <c r="A5" s="16" t="s">
        <v>11</v>
      </c>
      <c r="B5" s="17" t="s">
        <v>20</v>
      </c>
      <c r="C5" s="17"/>
      <c r="D5" s="17"/>
      <c r="E5" s="17"/>
      <c r="F5" s="18" t="s">
        <v>35</v>
      </c>
      <c r="G5" s="17" t="s">
        <v>301</v>
      </c>
      <c r="H5" s="17"/>
      <c r="I5" s="17"/>
      <c r="J5" s="17"/>
      <c r="K5" s="17"/>
      <c r="L5" s="17"/>
      <c r="M5" s="17"/>
      <c r="N5" s="17"/>
      <c r="O5" s="17"/>
      <c r="P5" s="19"/>
    </row>
    <row r="6" spans="1:16" ht="24.9" customHeight="1" x14ac:dyDescent="0.3">
      <c r="A6" s="16" t="s">
        <v>14</v>
      </c>
      <c r="B6" s="17" t="s">
        <v>21</v>
      </c>
      <c r="C6" s="17"/>
      <c r="D6" s="17"/>
      <c r="E6" s="17"/>
      <c r="F6" s="18" t="s">
        <v>35</v>
      </c>
      <c r="G6" s="17" t="s">
        <v>250</v>
      </c>
      <c r="H6" s="17"/>
      <c r="I6" s="17"/>
      <c r="J6" s="17"/>
      <c r="K6" s="17"/>
      <c r="L6" s="17"/>
      <c r="M6" s="17"/>
      <c r="N6" s="17"/>
      <c r="O6" s="17"/>
      <c r="P6" s="19"/>
    </row>
    <row r="7" spans="1:16" ht="24.9" customHeight="1" x14ac:dyDescent="0.3">
      <c r="A7" s="16" t="s">
        <v>15</v>
      </c>
      <c r="B7" s="17" t="s">
        <v>5</v>
      </c>
      <c r="C7" s="17"/>
      <c r="D7" s="17"/>
      <c r="E7" s="17"/>
      <c r="F7" s="18" t="s">
        <v>35</v>
      </c>
      <c r="G7" s="21" t="s">
        <v>306</v>
      </c>
      <c r="H7" s="17"/>
      <c r="I7" s="17"/>
      <c r="J7" s="17"/>
      <c r="K7" s="17"/>
      <c r="L7" s="17"/>
      <c r="M7" s="17"/>
      <c r="N7" s="17"/>
      <c r="O7" s="17"/>
      <c r="P7" s="19"/>
    </row>
    <row r="8" spans="1:16" ht="24.9" customHeight="1" x14ac:dyDescent="0.3">
      <c r="A8" s="16" t="s">
        <v>16</v>
      </c>
      <c r="B8" s="17" t="s">
        <v>22</v>
      </c>
      <c r="C8" s="17"/>
      <c r="D8" s="17"/>
      <c r="E8" s="17"/>
      <c r="F8" s="18" t="s">
        <v>35</v>
      </c>
      <c r="G8" s="91" t="s">
        <v>307</v>
      </c>
      <c r="H8" s="17"/>
      <c r="I8" s="17"/>
      <c r="J8" s="17"/>
      <c r="K8" s="17"/>
      <c r="L8" s="17"/>
      <c r="M8" s="17"/>
      <c r="N8" s="17"/>
      <c r="O8" s="17"/>
      <c r="P8" s="19"/>
    </row>
    <row r="9" spans="1:16" ht="24.9" customHeight="1" x14ac:dyDescent="0.3">
      <c r="A9" s="16" t="s">
        <v>17</v>
      </c>
      <c r="B9" s="17" t="s">
        <v>23</v>
      </c>
      <c r="C9" s="17"/>
      <c r="D9" s="17"/>
      <c r="E9" s="17"/>
      <c r="F9" s="18" t="s">
        <v>35</v>
      </c>
      <c r="G9" s="159" t="s">
        <v>308</v>
      </c>
      <c r="H9" s="159"/>
      <c r="I9" s="159"/>
      <c r="J9" s="159"/>
      <c r="K9" s="159"/>
      <c r="L9" s="159"/>
      <c r="M9" s="159"/>
      <c r="N9" s="159"/>
      <c r="O9" s="159"/>
      <c r="P9" s="160"/>
    </row>
    <row r="10" spans="1:16" ht="24.9" customHeight="1" x14ac:dyDescent="0.3">
      <c r="A10" s="20" t="s">
        <v>18</v>
      </c>
      <c r="B10" s="21" t="s">
        <v>264</v>
      </c>
      <c r="C10" s="21"/>
      <c r="D10" s="21"/>
      <c r="E10" s="21"/>
      <c r="F10" s="21" t="s">
        <v>35</v>
      </c>
      <c r="G10" s="21" t="s">
        <v>266</v>
      </c>
      <c r="H10" s="49"/>
      <c r="I10" s="21"/>
      <c r="J10" s="21"/>
      <c r="K10" s="21"/>
      <c r="L10" s="21"/>
      <c r="M10" s="21"/>
      <c r="N10" s="21"/>
      <c r="O10" s="21"/>
      <c r="P10" s="22"/>
    </row>
    <row r="11" spans="1:16" ht="24.9" customHeight="1" x14ac:dyDescent="0.3">
      <c r="A11" s="26"/>
      <c r="B11" s="2" t="s">
        <v>134</v>
      </c>
      <c r="F11" s="2" t="s">
        <v>35</v>
      </c>
      <c r="G11" s="2" t="s">
        <v>267</v>
      </c>
      <c r="H11" s="29"/>
      <c r="P11" s="27"/>
    </row>
    <row r="12" spans="1:16" ht="24.9" customHeight="1" x14ac:dyDescent="0.3">
      <c r="A12" s="23"/>
      <c r="B12" s="24" t="s">
        <v>265</v>
      </c>
      <c r="C12" s="24"/>
      <c r="D12" s="24"/>
      <c r="E12" s="24"/>
      <c r="F12" s="24" t="s">
        <v>35</v>
      </c>
      <c r="G12" s="24" t="s">
        <v>263</v>
      </c>
      <c r="H12" s="24"/>
      <c r="I12" s="87"/>
      <c r="J12" s="24"/>
      <c r="K12" s="24"/>
      <c r="L12" s="24"/>
      <c r="M12" s="24"/>
      <c r="N12" s="24"/>
      <c r="O12" s="24"/>
      <c r="P12" s="25"/>
    </row>
    <row r="13" spans="1:16" ht="24.9" customHeight="1" x14ac:dyDescent="0.3">
      <c r="A13" s="20" t="s">
        <v>89</v>
      </c>
      <c r="B13" s="21" t="s">
        <v>253</v>
      </c>
      <c r="C13" s="21"/>
      <c r="D13" s="21"/>
      <c r="E13" s="21" t="s">
        <v>24</v>
      </c>
      <c r="F13" s="21"/>
      <c r="G13" s="21"/>
      <c r="H13" s="21"/>
      <c r="I13" s="49" t="s">
        <v>35</v>
      </c>
      <c r="J13" s="49">
        <v>0</v>
      </c>
      <c r="K13" s="2" t="s">
        <v>4</v>
      </c>
      <c r="L13" s="21"/>
      <c r="M13" s="21"/>
      <c r="N13" s="21"/>
      <c r="O13" s="21"/>
      <c r="P13" s="22"/>
    </row>
    <row r="14" spans="1:16" ht="24.9" customHeight="1" x14ac:dyDescent="0.3">
      <c r="A14" s="23"/>
      <c r="B14" s="24"/>
      <c r="C14" s="24"/>
      <c r="D14" s="24"/>
      <c r="E14" s="24" t="s">
        <v>25</v>
      </c>
      <c r="F14" s="24"/>
      <c r="G14" s="24"/>
      <c r="H14" s="24"/>
      <c r="I14" s="87" t="s">
        <v>35</v>
      </c>
      <c r="J14" s="87">
        <v>2</v>
      </c>
      <c r="K14" s="2" t="s">
        <v>4</v>
      </c>
      <c r="L14" s="24"/>
      <c r="M14" s="24"/>
      <c r="N14" s="24"/>
      <c r="O14" s="24"/>
      <c r="P14" s="25"/>
    </row>
    <row r="15" spans="1:16" ht="24.9" customHeight="1" x14ac:dyDescent="0.3">
      <c r="A15" s="26" t="s">
        <v>254</v>
      </c>
      <c r="B15" s="2" t="s">
        <v>255</v>
      </c>
      <c r="H15" s="171" t="s">
        <v>262</v>
      </c>
      <c r="I15" s="171"/>
      <c r="J15" s="171"/>
      <c r="K15" s="171"/>
      <c r="P15" s="27"/>
    </row>
    <row r="16" spans="1:16" ht="24.9" customHeight="1" x14ac:dyDescent="0.3">
      <c r="A16" s="26"/>
      <c r="I16" s="29"/>
      <c r="J16" s="2" t="s">
        <v>261</v>
      </c>
      <c r="N16" s="2" t="s">
        <v>263</v>
      </c>
      <c r="P16" s="27"/>
    </row>
    <row r="17" spans="1:16" ht="24.9" customHeight="1" x14ac:dyDescent="0.3">
      <c r="A17" s="26"/>
      <c r="B17" s="2" t="s">
        <v>256</v>
      </c>
      <c r="F17" s="2" t="s">
        <v>35</v>
      </c>
      <c r="I17" s="29"/>
      <c r="J17" s="2" t="s">
        <v>4</v>
      </c>
      <c r="O17" s="2" t="s">
        <v>4</v>
      </c>
      <c r="P17" s="27"/>
    </row>
    <row r="18" spans="1:16" ht="24.9" customHeight="1" x14ac:dyDescent="0.3">
      <c r="A18" s="26"/>
      <c r="B18" s="2" t="s">
        <v>257</v>
      </c>
      <c r="F18" s="2" t="s">
        <v>35</v>
      </c>
      <c r="I18" s="29"/>
      <c r="J18" s="2" t="s">
        <v>4</v>
      </c>
      <c r="O18" s="2" t="s">
        <v>4</v>
      </c>
      <c r="P18" s="27"/>
    </row>
    <row r="19" spans="1:16" ht="24.9" customHeight="1" x14ac:dyDescent="0.3">
      <c r="A19" s="26"/>
      <c r="B19" s="2" t="s">
        <v>258</v>
      </c>
      <c r="F19" s="2" t="s">
        <v>35</v>
      </c>
      <c r="I19" s="29"/>
      <c r="J19" s="2" t="s">
        <v>4</v>
      </c>
      <c r="O19" s="2" t="s">
        <v>4</v>
      </c>
      <c r="P19" s="27"/>
    </row>
    <row r="20" spans="1:16" ht="24.9" customHeight="1" x14ac:dyDescent="0.3">
      <c r="A20" s="26"/>
      <c r="B20" s="2" t="s">
        <v>259</v>
      </c>
      <c r="F20" s="2" t="s">
        <v>35</v>
      </c>
      <c r="I20" s="29"/>
      <c r="J20" s="2" t="s">
        <v>4</v>
      </c>
      <c r="O20" s="2" t="s">
        <v>4</v>
      </c>
      <c r="P20" s="27"/>
    </row>
    <row r="21" spans="1:16" ht="24.9" customHeight="1" x14ac:dyDescent="0.3">
      <c r="A21" s="26"/>
      <c r="B21" s="2" t="s">
        <v>260</v>
      </c>
      <c r="I21" s="29"/>
      <c r="P21" s="27"/>
    </row>
    <row r="22" spans="1:16" ht="24.9" customHeight="1" x14ac:dyDescent="0.3">
      <c r="A22" s="20"/>
      <c r="B22" s="21" t="s">
        <v>26</v>
      </c>
      <c r="C22" s="21"/>
      <c r="D22" s="21"/>
      <c r="E22" s="21"/>
      <c r="F22" s="21"/>
      <c r="G22" s="21"/>
      <c r="H22" s="21"/>
      <c r="I22" s="21"/>
      <c r="J22" s="21"/>
      <c r="K22" s="21"/>
      <c r="L22" s="21"/>
      <c r="M22" s="21"/>
      <c r="N22" s="21"/>
      <c r="O22" s="21"/>
      <c r="P22" s="22"/>
    </row>
    <row r="23" spans="1:16" ht="24.9" customHeight="1" x14ac:dyDescent="0.3">
      <c r="A23" s="26"/>
      <c r="D23" s="2" t="s">
        <v>27</v>
      </c>
      <c r="H23" s="2" t="s">
        <v>33</v>
      </c>
      <c r="N23" s="2" t="s">
        <v>34</v>
      </c>
      <c r="P23" s="27"/>
    </row>
    <row r="24" spans="1:16" ht="24.9" customHeight="1" x14ac:dyDescent="0.3">
      <c r="A24" s="26"/>
      <c r="B24" s="2" t="s">
        <v>28</v>
      </c>
      <c r="C24" s="161" t="s">
        <v>96</v>
      </c>
      <c r="D24" s="161"/>
      <c r="E24" s="161"/>
      <c r="G24" s="161" t="s">
        <v>113</v>
      </c>
      <c r="H24" s="161"/>
      <c r="I24" s="161"/>
      <c r="J24" s="161"/>
      <c r="K24" s="161"/>
      <c r="M24" s="162">
        <v>1</v>
      </c>
      <c r="N24" s="162"/>
      <c r="O24" s="162"/>
      <c r="P24" s="163"/>
    </row>
    <row r="25" spans="1:16" ht="24.9" customHeight="1" x14ac:dyDescent="0.3">
      <c r="A25" s="26"/>
      <c r="B25" s="2" t="s">
        <v>29</v>
      </c>
      <c r="C25" s="161" t="s">
        <v>111</v>
      </c>
      <c r="D25" s="161"/>
      <c r="E25" s="161"/>
      <c r="G25" s="161" t="s">
        <v>113</v>
      </c>
      <c r="H25" s="161"/>
      <c r="I25" s="161"/>
      <c r="J25" s="161"/>
      <c r="K25" s="161"/>
      <c r="M25" s="162">
        <v>1</v>
      </c>
      <c r="N25" s="162"/>
      <c r="O25" s="162"/>
      <c r="P25" s="163"/>
    </row>
    <row r="26" spans="1:16" ht="24.9" customHeight="1" x14ac:dyDescent="0.3">
      <c r="A26" s="26"/>
      <c r="B26" s="2" t="s">
        <v>30</v>
      </c>
      <c r="C26" s="161" t="s">
        <v>111</v>
      </c>
      <c r="D26" s="161"/>
      <c r="E26" s="161"/>
      <c r="G26" s="161"/>
      <c r="H26" s="161"/>
      <c r="I26" s="161"/>
      <c r="J26" s="161"/>
      <c r="K26" s="161"/>
      <c r="M26" s="162"/>
      <c r="N26" s="162"/>
      <c r="O26" s="162"/>
      <c r="P26" s="163"/>
    </row>
    <row r="27" spans="1:16" ht="24.9" customHeight="1" x14ac:dyDescent="0.3">
      <c r="A27" s="26"/>
      <c r="B27" s="2" t="s">
        <v>31</v>
      </c>
      <c r="C27" s="161" t="s">
        <v>112</v>
      </c>
      <c r="D27" s="161"/>
      <c r="E27" s="161"/>
      <c r="G27" s="161"/>
      <c r="H27" s="161"/>
      <c r="I27" s="161"/>
      <c r="J27" s="161"/>
      <c r="K27" s="161"/>
      <c r="M27" s="162"/>
      <c r="N27" s="162"/>
      <c r="O27" s="162"/>
      <c r="P27" s="163"/>
    </row>
    <row r="28" spans="1:16" ht="24.9" customHeight="1" x14ac:dyDescent="0.3">
      <c r="A28" s="23"/>
      <c r="B28" s="24"/>
      <c r="C28" s="164"/>
      <c r="D28" s="164"/>
      <c r="E28" s="164"/>
      <c r="F28" s="24"/>
      <c r="G28" s="24"/>
      <c r="H28" s="165"/>
      <c r="I28" s="165"/>
      <c r="J28" s="165"/>
      <c r="K28" s="165"/>
      <c r="L28" s="24"/>
      <c r="M28" s="24"/>
      <c r="N28" s="165"/>
      <c r="O28" s="165"/>
      <c r="P28" s="166"/>
    </row>
    <row r="32" spans="1:16" ht="21" customHeight="1" x14ac:dyDescent="0.3">
      <c r="A32" s="167" t="s">
        <v>251</v>
      </c>
      <c r="B32" s="167"/>
      <c r="C32" s="167"/>
      <c r="D32" s="167"/>
      <c r="E32" s="167"/>
      <c r="F32" s="167"/>
      <c r="G32" s="167"/>
      <c r="H32" s="167"/>
      <c r="I32" s="167"/>
      <c r="J32" s="167"/>
      <c r="K32" s="167"/>
      <c r="L32" s="167"/>
      <c r="M32" s="167"/>
      <c r="N32" s="167"/>
      <c r="O32" s="167"/>
      <c r="P32" s="167"/>
    </row>
    <row r="33" spans="1:16" ht="21" customHeight="1" x14ac:dyDescent="0.3">
      <c r="A33" s="168" t="s">
        <v>252</v>
      </c>
      <c r="B33" s="168"/>
      <c r="C33" s="168"/>
      <c r="D33" s="168"/>
      <c r="E33" s="168"/>
      <c r="F33" s="168"/>
      <c r="G33" s="168"/>
      <c r="H33" s="168"/>
      <c r="I33" s="168"/>
      <c r="J33" s="168"/>
      <c r="K33" s="168"/>
      <c r="L33" s="168"/>
      <c r="M33" s="168"/>
      <c r="N33" s="168"/>
      <c r="O33" s="168"/>
      <c r="P33" s="168"/>
    </row>
    <row r="34" spans="1:16" ht="24" customHeight="1" x14ac:dyDescent="0.3">
      <c r="A34" s="16" t="s">
        <v>12</v>
      </c>
      <c r="B34" s="17" t="s">
        <v>19</v>
      </c>
      <c r="C34" s="17"/>
      <c r="D34" s="17"/>
      <c r="E34" s="17"/>
      <c r="F34" s="18" t="s">
        <v>35</v>
      </c>
      <c r="G34" s="17" t="s">
        <v>249</v>
      </c>
      <c r="H34" s="17"/>
      <c r="I34" s="17"/>
      <c r="J34" s="17"/>
      <c r="K34" s="17"/>
      <c r="L34" s="17"/>
      <c r="M34" s="17"/>
      <c r="N34" s="17"/>
      <c r="O34" s="17"/>
      <c r="P34" s="19"/>
    </row>
    <row r="35" spans="1:16" ht="163.5" customHeight="1" x14ac:dyDescent="0.3">
      <c r="A35" s="50" t="s">
        <v>13</v>
      </c>
      <c r="B35" s="51" t="s">
        <v>1</v>
      </c>
      <c r="C35" s="51"/>
      <c r="D35" s="51"/>
      <c r="E35" s="51"/>
      <c r="F35" s="52" t="s">
        <v>35</v>
      </c>
      <c r="G35" s="169" t="s">
        <v>309</v>
      </c>
      <c r="H35" s="169"/>
      <c r="I35" s="169"/>
      <c r="J35" s="169"/>
      <c r="K35" s="169"/>
      <c r="L35" s="169"/>
      <c r="M35" s="169"/>
      <c r="N35" s="169"/>
      <c r="O35" s="169"/>
      <c r="P35" s="170"/>
    </row>
    <row r="36" spans="1:16" ht="24" customHeight="1" x14ac:dyDescent="0.3">
      <c r="A36" s="16" t="s">
        <v>11</v>
      </c>
      <c r="B36" s="17" t="s">
        <v>20</v>
      </c>
      <c r="C36" s="17"/>
      <c r="D36" s="17"/>
      <c r="E36" s="17"/>
      <c r="F36" s="18" t="s">
        <v>35</v>
      </c>
      <c r="G36" s="17" t="s">
        <v>301</v>
      </c>
      <c r="H36" s="17"/>
      <c r="I36" s="17"/>
      <c r="J36" s="17"/>
      <c r="K36" s="17"/>
      <c r="L36" s="17"/>
      <c r="M36" s="17"/>
      <c r="N36" s="17"/>
      <c r="O36" s="17"/>
      <c r="P36" s="19"/>
    </row>
    <row r="37" spans="1:16" ht="24" customHeight="1" x14ac:dyDescent="0.3">
      <c r="A37" s="16" t="s">
        <v>14</v>
      </c>
      <c r="B37" s="17" t="s">
        <v>21</v>
      </c>
      <c r="C37" s="17"/>
      <c r="D37" s="17"/>
      <c r="E37" s="17"/>
      <c r="F37" s="18" t="s">
        <v>35</v>
      </c>
      <c r="G37" s="17" t="s">
        <v>250</v>
      </c>
      <c r="H37" s="17"/>
      <c r="I37" s="17"/>
      <c r="J37" s="17"/>
      <c r="K37" s="17"/>
      <c r="L37" s="17"/>
      <c r="M37" s="17"/>
      <c r="N37" s="17"/>
      <c r="O37" s="17"/>
      <c r="P37" s="19"/>
    </row>
    <row r="38" spans="1:16" ht="24" customHeight="1" x14ac:dyDescent="0.3">
      <c r="A38" s="16" t="s">
        <v>15</v>
      </c>
      <c r="B38" s="17" t="s">
        <v>5</v>
      </c>
      <c r="C38" s="17"/>
      <c r="D38" s="17"/>
      <c r="E38" s="17"/>
      <c r="F38" s="18" t="s">
        <v>35</v>
      </c>
      <c r="G38" s="21" t="s">
        <v>310</v>
      </c>
      <c r="H38" s="17"/>
      <c r="I38" s="17"/>
      <c r="J38" s="17"/>
      <c r="K38" s="17"/>
      <c r="L38" s="17"/>
      <c r="M38" s="17"/>
      <c r="N38" s="17"/>
      <c r="O38" s="17"/>
      <c r="P38" s="19"/>
    </row>
    <row r="39" spans="1:16" ht="24" customHeight="1" x14ac:dyDescent="0.3">
      <c r="A39" s="16" t="s">
        <v>16</v>
      </c>
      <c r="B39" s="17" t="s">
        <v>22</v>
      </c>
      <c r="C39" s="17"/>
      <c r="D39" s="17"/>
      <c r="E39" s="17"/>
      <c r="F39" s="18" t="s">
        <v>35</v>
      </c>
      <c r="G39" s="91" t="s">
        <v>311</v>
      </c>
      <c r="H39" s="17"/>
      <c r="I39" s="17"/>
      <c r="J39" s="17"/>
      <c r="K39" s="17"/>
      <c r="L39" s="17"/>
      <c r="M39" s="17"/>
      <c r="N39" s="17"/>
      <c r="O39" s="17"/>
      <c r="P39" s="19"/>
    </row>
    <row r="40" spans="1:16" ht="24" customHeight="1" x14ac:dyDescent="0.3">
      <c r="A40" s="16" t="s">
        <v>17</v>
      </c>
      <c r="B40" s="17" t="s">
        <v>23</v>
      </c>
      <c r="C40" s="17"/>
      <c r="D40" s="17"/>
      <c r="E40" s="17"/>
      <c r="F40" s="18" t="s">
        <v>35</v>
      </c>
      <c r="G40" s="159" t="s">
        <v>312</v>
      </c>
      <c r="H40" s="159"/>
      <c r="I40" s="159"/>
      <c r="J40" s="159"/>
      <c r="K40" s="159"/>
      <c r="L40" s="159"/>
      <c r="M40" s="159"/>
      <c r="N40" s="159"/>
      <c r="O40" s="159"/>
      <c r="P40" s="160"/>
    </row>
    <row r="41" spans="1:16" ht="24" customHeight="1" x14ac:dyDescent="0.3">
      <c r="A41" s="20" t="s">
        <v>18</v>
      </c>
      <c r="B41" s="21" t="s">
        <v>264</v>
      </c>
      <c r="C41" s="21"/>
      <c r="D41" s="21"/>
      <c r="E41" s="21"/>
      <c r="F41" s="21" t="s">
        <v>35</v>
      </c>
      <c r="G41" s="21" t="s">
        <v>266</v>
      </c>
      <c r="H41" s="49"/>
      <c r="I41" s="21"/>
      <c r="J41" s="21"/>
      <c r="K41" s="21"/>
      <c r="L41" s="21"/>
      <c r="M41" s="21"/>
      <c r="N41" s="21"/>
      <c r="O41" s="21"/>
      <c r="P41" s="22"/>
    </row>
    <row r="42" spans="1:16" ht="24" customHeight="1" x14ac:dyDescent="0.3">
      <c r="A42" s="26"/>
      <c r="B42" s="2" t="s">
        <v>134</v>
      </c>
      <c r="F42" s="2" t="s">
        <v>35</v>
      </c>
      <c r="G42" s="2" t="s">
        <v>267</v>
      </c>
      <c r="H42" s="29"/>
      <c r="P42" s="27"/>
    </row>
    <row r="43" spans="1:16" ht="24" customHeight="1" x14ac:dyDescent="0.3">
      <c r="A43" s="23"/>
      <c r="B43" s="24" t="s">
        <v>265</v>
      </c>
      <c r="C43" s="24"/>
      <c r="D43" s="24"/>
      <c r="E43" s="24"/>
      <c r="F43" s="24" t="s">
        <v>35</v>
      </c>
      <c r="G43" s="24" t="s">
        <v>263</v>
      </c>
      <c r="H43" s="24"/>
      <c r="I43" s="87"/>
      <c r="J43" s="24"/>
      <c r="K43" s="24"/>
      <c r="L43" s="24"/>
      <c r="M43" s="24"/>
      <c r="N43" s="24"/>
      <c r="O43" s="24"/>
      <c r="P43" s="25"/>
    </row>
    <row r="44" spans="1:16" ht="24" customHeight="1" x14ac:dyDescent="0.3">
      <c r="A44" s="20" t="s">
        <v>89</v>
      </c>
      <c r="B44" s="21" t="s">
        <v>253</v>
      </c>
      <c r="C44" s="21"/>
      <c r="D44" s="21"/>
      <c r="E44" s="21" t="s">
        <v>24</v>
      </c>
      <c r="F44" s="21"/>
      <c r="G44" s="21"/>
      <c r="H44" s="21"/>
      <c r="I44" s="49" t="s">
        <v>35</v>
      </c>
      <c r="J44" s="49">
        <v>0</v>
      </c>
      <c r="K44" s="2" t="s">
        <v>4</v>
      </c>
      <c r="L44" s="21"/>
      <c r="M44" s="21"/>
      <c r="N44" s="21"/>
      <c r="O44" s="21"/>
      <c r="P44" s="22"/>
    </row>
    <row r="45" spans="1:16" ht="24" customHeight="1" x14ac:dyDescent="0.3">
      <c r="A45" s="23"/>
      <c r="B45" s="24"/>
      <c r="C45" s="24"/>
      <c r="D45" s="24"/>
      <c r="E45" s="24" t="s">
        <v>25</v>
      </c>
      <c r="F45" s="24"/>
      <c r="G45" s="24"/>
      <c r="H45" s="24"/>
      <c r="I45" s="87" t="s">
        <v>35</v>
      </c>
      <c r="J45" s="87">
        <v>2</v>
      </c>
      <c r="K45" s="2" t="s">
        <v>4</v>
      </c>
      <c r="L45" s="24"/>
      <c r="M45" s="24"/>
      <c r="N45" s="24"/>
      <c r="O45" s="24"/>
      <c r="P45" s="25"/>
    </row>
    <row r="46" spans="1:16" ht="20.25" customHeight="1" x14ac:dyDescent="0.3">
      <c r="A46" s="26" t="s">
        <v>254</v>
      </c>
      <c r="B46" s="2" t="s">
        <v>255</v>
      </c>
      <c r="H46" s="171" t="s">
        <v>262</v>
      </c>
      <c r="I46" s="171"/>
      <c r="J46" s="171"/>
      <c r="K46" s="171"/>
      <c r="P46" s="27"/>
    </row>
    <row r="47" spans="1:16" ht="20.25" customHeight="1" x14ac:dyDescent="0.3">
      <c r="A47" s="26"/>
      <c r="I47" s="29"/>
      <c r="J47" s="2" t="s">
        <v>261</v>
      </c>
      <c r="N47" s="2" t="s">
        <v>263</v>
      </c>
      <c r="P47" s="27"/>
    </row>
    <row r="48" spans="1:16" ht="20.25" customHeight="1" x14ac:dyDescent="0.3">
      <c r="A48" s="26"/>
      <c r="B48" s="2" t="s">
        <v>256</v>
      </c>
      <c r="F48" s="2" t="s">
        <v>35</v>
      </c>
      <c r="I48" s="29"/>
      <c r="J48" s="2" t="s">
        <v>4</v>
      </c>
      <c r="O48" s="2" t="s">
        <v>4</v>
      </c>
      <c r="P48" s="27"/>
    </row>
    <row r="49" spans="1:16" ht="20.25" customHeight="1" x14ac:dyDescent="0.3">
      <c r="A49" s="26"/>
      <c r="B49" s="2" t="s">
        <v>257</v>
      </c>
      <c r="F49" s="2" t="s">
        <v>35</v>
      </c>
      <c r="I49" s="29"/>
      <c r="J49" s="2" t="s">
        <v>4</v>
      </c>
      <c r="O49" s="2" t="s">
        <v>4</v>
      </c>
      <c r="P49" s="27"/>
    </row>
    <row r="50" spans="1:16" ht="20.25" customHeight="1" x14ac:dyDescent="0.3">
      <c r="A50" s="26"/>
      <c r="B50" s="2" t="s">
        <v>258</v>
      </c>
      <c r="F50" s="2" t="s">
        <v>35</v>
      </c>
      <c r="I50" s="29"/>
      <c r="J50" s="2" t="s">
        <v>4</v>
      </c>
      <c r="O50" s="2" t="s">
        <v>4</v>
      </c>
      <c r="P50" s="27"/>
    </row>
    <row r="51" spans="1:16" ht="20.25" customHeight="1" x14ac:dyDescent="0.3">
      <c r="A51" s="26"/>
      <c r="B51" s="2" t="s">
        <v>259</v>
      </c>
      <c r="F51" s="2" t="s">
        <v>35</v>
      </c>
      <c r="I51" s="29"/>
      <c r="J51" s="2" t="s">
        <v>4</v>
      </c>
      <c r="O51" s="2" t="s">
        <v>4</v>
      </c>
      <c r="P51" s="27"/>
    </row>
    <row r="52" spans="1:16" ht="20.25" customHeight="1" x14ac:dyDescent="0.3">
      <c r="A52" s="26"/>
      <c r="B52" s="2" t="s">
        <v>260</v>
      </c>
      <c r="I52" s="29"/>
      <c r="P52" s="27"/>
    </row>
    <row r="53" spans="1:16" ht="20.25" customHeight="1" x14ac:dyDescent="0.3">
      <c r="A53" s="20"/>
      <c r="B53" s="21" t="s">
        <v>26</v>
      </c>
      <c r="C53" s="21"/>
      <c r="D53" s="21"/>
      <c r="E53" s="21"/>
      <c r="F53" s="21"/>
      <c r="G53" s="21"/>
      <c r="H53" s="21"/>
      <c r="I53" s="21"/>
      <c r="J53" s="21"/>
      <c r="K53" s="21"/>
      <c r="L53" s="21"/>
      <c r="M53" s="21"/>
      <c r="N53" s="21"/>
      <c r="O53" s="21"/>
      <c r="P53" s="22"/>
    </row>
    <row r="54" spans="1:16" ht="20.25" customHeight="1" x14ac:dyDescent="0.3">
      <c r="A54" s="26"/>
      <c r="D54" s="2" t="s">
        <v>27</v>
      </c>
      <c r="H54" s="2" t="s">
        <v>33</v>
      </c>
      <c r="N54" s="2" t="s">
        <v>34</v>
      </c>
      <c r="P54" s="27"/>
    </row>
    <row r="55" spans="1:16" ht="20.25" customHeight="1" x14ac:dyDescent="0.3">
      <c r="A55" s="26"/>
      <c r="B55" s="2" t="s">
        <v>28</v>
      </c>
      <c r="C55" s="161" t="s">
        <v>96</v>
      </c>
      <c r="D55" s="161"/>
      <c r="E55" s="161"/>
      <c r="G55" s="161" t="s">
        <v>113</v>
      </c>
      <c r="H55" s="161"/>
      <c r="I55" s="161"/>
      <c r="J55" s="161"/>
      <c r="K55" s="161"/>
      <c r="M55" s="162">
        <v>1</v>
      </c>
      <c r="N55" s="162"/>
      <c r="O55" s="162"/>
      <c r="P55" s="163"/>
    </row>
    <row r="56" spans="1:16" ht="20.25" customHeight="1" x14ac:dyDescent="0.3">
      <c r="A56" s="26"/>
      <c r="B56" s="2" t="s">
        <v>29</v>
      </c>
      <c r="C56" s="161" t="s">
        <v>111</v>
      </c>
      <c r="D56" s="161"/>
      <c r="E56" s="161"/>
      <c r="G56" s="161" t="s">
        <v>113</v>
      </c>
      <c r="H56" s="161"/>
      <c r="I56" s="161"/>
      <c r="J56" s="161"/>
      <c r="K56" s="161"/>
      <c r="M56" s="162">
        <v>1</v>
      </c>
      <c r="N56" s="162"/>
      <c r="O56" s="162"/>
      <c r="P56" s="163"/>
    </row>
    <row r="57" spans="1:16" ht="20.25" customHeight="1" x14ac:dyDescent="0.3">
      <c r="A57" s="26"/>
      <c r="B57" s="2" t="s">
        <v>30</v>
      </c>
      <c r="C57" s="161" t="s">
        <v>111</v>
      </c>
      <c r="D57" s="161"/>
      <c r="E57" s="161"/>
      <c r="G57" s="161"/>
      <c r="H57" s="161"/>
      <c r="I57" s="161"/>
      <c r="J57" s="161"/>
      <c r="K57" s="161"/>
      <c r="M57" s="162"/>
      <c r="N57" s="162"/>
      <c r="O57" s="162"/>
      <c r="P57" s="163"/>
    </row>
    <row r="58" spans="1:16" ht="20.25" customHeight="1" x14ac:dyDescent="0.3">
      <c r="A58" s="26"/>
      <c r="B58" s="2" t="s">
        <v>31</v>
      </c>
      <c r="C58" s="161" t="s">
        <v>112</v>
      </c>
      <c r="D58" s="161"/>
      <c r="E58" s="161"/>
      <c r="G58" s="161"/>
      <c r="H58" s="161"/>
      <c r="I58" s="161"/>
      <c r="J58" s="161"/>
      <c r="K58" s="161"/>
      <c r="M58" s="162"/>
      <c r="N58" s="162"/>
      <c r="O58" s="162"/>
      <c r="P58" s="163"/>
    </row>
    <row r="59" spans="1:16" ht="20.25" customHeight="1" x14ac:dyDescent="0.3">
      <c r="A59" s="23"/>
      <c r="B59" s="24"/>
      <c r="C59" s="164"/>
      <c r="D59" s="164"/>
      <c r="E59" s="164"/>
      <c r="F59" s="24"/>
      <c r="G59" s="24"/>
      <c r="H59" s="165"/>
      <c r="I59" s="165"/>
      <c r="J59" s="165"/>
      <c r="K59" s="165"/>
      <c r="L59" s="24"/>
      <c r="M59" s="24"/>
      <c r="N59" s="165"/>
      <c r="O59" s="165"/>
      <c r="P59" s="166"/>
    </row>
    <row r="63" spans="1:16" ht="25.5" customHeight="1" x14ac:dyDescent="0.3">
      <c r="A63" s="167" t="s">
        <v>251</v>
      </c>
      <c r="B63" s="167"/>
      <c r="C63" s="167"/>
      <c r="D63" s="167"/>
      <c r="E63" s="167"/>
      <c r="F63" s="167"/>
      <c r="G63" s="167"/>
      <c r="H63" s="167"/>
      <c r="I63" s="167"/>
      <c r="J63" s="167"/>
      <c r="K63" s="167"/>
      <c r="L63" s="167"/>
      <c r="M63" s="167"/>
      <c r="N63" s="167"/>
      <c r="O63" s="167"/>
      <c r="P63" s="167"/>
    </row>
    <row r="64" spans="1:16" ht="25.5" customHeight="1" x14ac:dyDescent="0.3">
      <c r="A64" s="168" t="s">
        <v>252</v>
      </c>
      <c r="B64" s="168"/>
      <c r="C64" s="168"/>
      <c r="D64" s="168"/>
      <c r="E64" s="168"/>
      <c r="F64" s="168"/>
      <c r="G64" s="168"/>
      <c r="H64" s="168"/>
      <c r="I64" s="168"/>
      <c r="J64" s="168"/>
      <c r="K64" s="168"/>
      <c r="L64" s="168"/>
      <c r="M64" s="168"/>
      <c r="N64" s="168"/>
      <c r="O64" s="168"/>
      <c r="P64" s="168"/>
    </row>
    <row r="65" spans="1:16" ht="28.5" customHeight="1" x14ac:dyDescent="0.3">
      <c r="A65" s="16" t="s">
        <v>12</v>
      </c>
      <c r="B65" s="17" t="s">
        <v>19</v>
      </c>
      <c r="C65" s="17"/>
      <c r="D65" s="17"/>
      <c r="E65" s="17"/>
      <c r="F65" s="18" t="s">
        <v>35</v>
      </c>
      <c r="G65" s="17" t="s">
        <v>249</v>
      </c>
      <c r="H65" s="17"/>
      <c r="I65" s="17"/>
      <c r="J65" s="17"/>
      <c r="K65" s="17"/>
      <c r="L65" s="17"/>
      <c r="M65" s="17"/>
      <c r="N65" s="17"/>
      <c r="O65" s="17"/>
      <c r="P65" s="19"/>
    </row>
    <row r="66" spans="1:16" ht="37.5" customHeight="1" x14ac:dyDescent="0.3">
      <c r="A66" s="50" t="s">
        <v>13</v>
      </c>
      <c r="B66" s="51" t="s">
        <v>1</v>
      </c>
      <c r="C66" s="51"/>
      <c r="D66" s="51"/>
      <c r="E66" s="51"/>
      <c r="F66" s="52" t="s">
        <v>35</v>
      </c>
      <c r="G66" s="169" t="s">
        <v>313</v>
      </c>
      <c r="H66" s="169"/>
      <c r="I66" s="169"/>
      <c r="J66" s="169"/>
      <c r="K66" s="169"/>
      <c r="L66" s="169"/>
      <c r="M66" s="169"/>
      <c r="N66" s="169"/>
      <c r="O66" s="169"/>
      <c r="P66" s="170"/>
    </row>
    <row r="67" spans="1:16" ht="28.5" customHeight="1" x14ac:dyDescent="0.3">
      <c r="A67" s="16" t="s">
        <v>11</v>
      </c>
      <c r="B67" s="17" t="s">
        <v>20</v>
      </c>
      <c r="C67" s="17"/>
      <c r="D67" s="17"/>
      <c r="E67" s="17"/>
      <c r="F67" s="18" t="s">
        <v>35</v>
      </c>
      <c r="G67" s="17" t="s">
        <v>301</v>
      </c>
      <c r="H67" s="17"/>
      <c r="I67" s="17"/>
      <c r="J67" s="17"/>
      <c r="K67" s="17"/>
      <c r="L67" s="17"/>
      <c r="M67" s="17"/>
      <c r="N67" s="17"/>
      <c r="O67" s="17"/>
      <c r="P67" s="19"/>
    </row>
    <row r="68" spans="1:16" ht="28.5" customHeight="1" x14ac:dyDescent="0.3">
      <c r="A68" s="16" t="s">
        <v>14</v>
      </c>
      <c r="B68" s="17" t="s">
        <v>21</v>
      </c>
      <c r="C68" s="17"/>
      <c r="D68" s="17"/>
      <c r="E68" s="17"/>
      <c r="F68" s="18" t="s">
        <v>35</v>
      </c>
      <c r="G68" s="17" t="s">
        <v>250</v>
      </c>
      <c r="H68" s="17"/>
      <c r="I68" s="17"/>
      <c r="J68" s="17"/>
      <c r="K68" s="17"/>
      <c r="L68" s="17"/>
      <c r="M68" s="17"/>
      <c r="N68" s="17"/>
      <c r="O68" s="17"/>
      <c r="P68" s="19"/>
    </row>
    <row r="69" spans="1:16" ht="28.5" customHeight="1" x14ac:dyDescent="0.3">
      <c r="A69" s="16" t="s">
        <v>15</v>
      </c>
      <c r="B69" s="17" t="s">
        <v>5</v>
      </c>
      <c r="C69" s="17"/>
      <c r="D69" s="17"/>
      <c r="E69" s="17"/>
      <c r="F69" s="18" t="s">
        <v>35</v>
      </c>
      <c r="G69" s="21" t="s">
        <v>314</v>
      </c>
      <c r="H69" s="17"/>
      <c r="I69" s="17"/>
      <c r="J69" s="17"/>
      <c r="K69" s="17"/>
      <c r="L69" s="17"/>
      <c r="M69" s="17"/>
      <c r="N69" s="17"/>
      <c r="O69" s="17"/>
      <c r="P69" s="19"/>
    </row>
    <row r="70" spans="1:16" ht="28.5" customHeight="1" x14ac:dyDescent="0.3">
      <c r="A70" s="16" t="s">
        <v>16</v>
      </c>
      <c r="B70" s="17" t="s">
        <v>22</v>
      </c>
      <c r="C70" s="17"/>
      <c r="D70" s="17"/>
      <c r="E70" s="17"/>
      <c r="F70" s="18" t="s">
        <v>35</v>
      </c>
      <c r="G70" s="91" t="s">
        <v>315</v>
      </c>
      <c r="H70" s="17"/>
      <c r="I70" s="17"/>
      <c r="J70" s="17"/>
      <c r="K70" s="17"/>
      <c r="L70" s="17"/>
      <c r="M70" s="17"/>
      <c r="N70" s="17"/>
      <c r="O70" s="17"/>
      <c r="P70" s="19"/>
    </row>
    <row r="71" spans="1:16" ht="28.5" customHeight="1" x14ac:dyDescent="0.3">
      <c r="A71" s="16" t="s">
        <v>17</v>
      </c>
      <c r="B71" s="17" t="s">
        <v>23</v>
      </c>
      <c r="C71" s="17"/>
      <c r="D71" s="17"/>
      <c r="E71" s="17"/>
      <c r="F71" s="18" t="s">
        <v>35</v>
      </c>
      <c r="G71" s="159" t="s">
        <v>316</v>
      </c>
      <c r="H71" s="159"/>
      <c r="I71" s="159"/>
      <c r="J71" s="159"/>
      <c r="K71" s="159"/>
      <c r="L71" s="159"/>
      <c r="M71" s="159"/>
      <c r="N71" s="159"/>
      <c r="O71" s="159"/>
      <c r="P71" s="160"/>
    </row>
    <row r="72" spans="1:16" ht="28.5" customHeight="1" x14ac:dyDescent="0.3">
      <c r="A72" s="20" t="s">
        <v>18</v>
      </c>
      <c r="B72" s="21" t="s">
        <v>264</v>
      </c>
      <c r="C72" s="21"/>
      <c r="D72" s="21"/>
      <c r="E72" s="21"/>
      <c r="F72" s="21" t="s">
        <v>35</v>
      </c>
      <c r="G72" s="21" t="s">
        <v>266</v>
      </c>
      <c r="H72" s="49"/>
      <c r="I72" s="21"/>
      <c r="J72" s="21"/>
      <c r="K72" s="21"/>
      <c r="L72" s="21"/>
      <c r="M72" s="21"/>
      <c r="N72" s="21"/>
      <c r="O72" s="21"/>
      <c r="P72" s="22"/>
    </row>
    <row r="73" spans="1:16" ht="28.5" customHeight="1" x14ac:dyDescent="0.3">
      <c r="A73" s="26"/>
      <c r="B73" s="2" t="s">
        <v>134</v>
      </c>
      <c r="F73" s="2" t="s">
        <v>35</v>
      </c>
      <c r="G73" s="2" t="s">
        <v>267</v>
      </c>
      <c r="H73" s="29"/>
      <c r="P73" s="27"/>
    </row>
    <row r="74" spans="1:16" ht="28.5" customHeight="1" x14ac:dyDescent="0.3">
      <c r="A74" s="23"/>
      <c r="B74" s="24" t="s">
        <v>265</v>
      </c>
      <c r="C74" s="24"/>
      <c r="D74" s="24"/>
      <c r="E74" s="24"/>
      <c r="F74" s="24" t="s">
        <v>35</v>
      </c>
      <c r="G74" s="24" t="s">
        <v>263</v>
      </c>
      <c r="H74" s="24"/>
      <c r="I74" s="87"/>
      <c r="J74" s="24"/>
      <c r="K74" s="24"/>
      <c r="L74" s="24"/>
      <c r="M74" s="24"/>
      <c r="N74" s="24"/>
      <c r="O74" s="24"/>
      <c r="P74" s="25"/>
    </row>
    <row r="75" spans="1:16" ht="28.5" customHeight="1" x14ac:dyDescent="0.3">
      <c r="A75" s="20" t="s">
        <v>89</v>
      </c>
      <c r="B75" s="21" t="s">
        <v>253</v>
      </c>
      <c r="C75" s="21"/>
      <c r="D75" s="21"/>
      <c r="E75" s="21" t="s">
        <v>24</v>
      </c>
      <c r="F75" s="21"/>
      <c r="G75" s="21"/>
      <c r="H75" s="21"/>
      <c r="I75" s="49" t="s">
        <v>35</v>
      </c>
      <c r="J75" s="49">
        <v>0</v>
      </c>
      <c r="K75" s="2" t="s">
        <v>4</v>
      </c>
      <c r="L75" s="21"/>
      <c r="M75" s="21"/>
      <c r="N75" s="21"/>
      <c r="O75" s="21"/>
      <c r="P75" s="22"/>
    </row>
    <row r="76" spans="1:16" ht="28.5" customHeight="1" x14ac:dyDescent="0.3">
      <c r="A76" s="23"/>
      <c r="B76" s="24"/>
      <c r="C76" s="24"/>
      <c r="D76" s="24"/>
      <c r="E76" s="24" t="s">
        <v>25</v>
      </c>
      <c r="F76" s="24"/>
      <c r="G76" s="24"/>
      <c r="H76" s="24"/>
      <c r="I76" s="87" t="s">
        <v>35</v>
      </c>
      <c r="J76" s="87">
        <v>2</v>
      </c>
      <c r="K76" s="2" t="s">
        <v>4</v>
      </c>
      <c r="L76" s="24"/>
      <c r="M76" s="24"/>
      <c r="N76" s="24"/>
      <c r="O76" s="24"/>
      <c r="P76" s="25"/>
    </row>
    <row r="77" spans="1:16" ht="21.75" customHeight="1" x14ac:dyDescent="0.3">
      <c r="A77" s="26" t="s">
        <v>254</v>
      </c>
      <c r="B77" s="2" t="s">
        <v>255</v>
      </c>
      <c r="H77" s="171" t="s">
        <v>262</v>
      </c>
      <c r="I77" s="171"/>
      <c r="J77" s="171"/>
      <c r="K77" s="171"/>
      <c r="P77" s="27"/>
    </row>
    <row r="78" spans="1:16" ht="21.75" customHeight="1" x14ac:dyDescent="0.3">
      <c r="A78" s="26"/>
      <c r="I78" s="29"/>
      <c r="J78" s="2" t="s">
        <v>261</v>
      </c>
      <c r="N78" s="2" t="s">
        <v>263</v>
      </c>
      <c r="P78" s="27"/>
    </row>
    <row r="79" spans="1:16" ht="21.75" customHeight="1" x14ac:dyDescent="0.3">
      <c r="A79" s="26"/>
      <c r="B79" s="2" t="s">
        <v>256</v>
      </c>
      <c r="F79" s="2" t="s">
        <v>35</v>
      </c>
      <c r="I79" s="29"/>
      <c r="J79" s="2" t="s">
        <v>4</v>
      </c>
      <c r="O79" s="2" t="s">
        <v>4</v>
      </c>
      <c r="P79" s="27"/>
    </row>
    <row r="80" spans="1:16" ht="21.75" customHeight="1" x14ac:dyDescent="0.3">
      <c r="A80" s="26"/>
      <c r="B80" s="2" t="s">
        <v>257</v>
      </c>
      <c r="F80" s="2" t="s">
        <v>35</v>
      </c>
      <c r="I80" s="29"/>
      <c r="J80" s="2" t="s">
        <v>4</v>
      </c>
      <c r="O80" s="2" t="s">
        <v>4</v>
      </c>
      <c r="P80" s="27"/>
    </row>
    <row r="81" spans="1:16" ht="21.75" customHeight="1" x14ac:dyDescent="0.3">
      <c r="A81" s="26"/>
      <c r="B81" s="2" t="s">
        <v>258</v>
      </c>
      <c r="F81" s="2" t="s">
        <v>35</v>
      </c>
      <c r="I81" s="29"/>
      <c r="J81" s="2" t="s">
        <v>4</v>
      </c>
      <c r="O81" s="2" t="s">
        <v>4</v>
      </c>
      <c r="P81" s="27"/>
    </row>
    <row r="82" spans="1:16" ht="21.75" customHeight="1" x14ac:dyDescent="0.3">
      <c r="A82" s="26"/>
      <c r="B82" s="2" t="s">
        <v>259</v>
      </c>
      <c r="F82" s="2" t="s">
        <v>35</v>
      </c>
      <c r="I82" s="29"/>
      <c r="J82" s="2" t="s">
        <v>4</v>
      </c>
      <c r="O82" s="2" t="s">
        <v>4</v>
      </c>
      <c r="P82" s="27"/>
    </row>
    <row r="83" spans="1:16" ht="21.75" customHeight="1" x14ac:dyDescent="0.3">
      <c r="A83" s="26"/>
      <c r="B83" s="2" t="s">
        <v>260</v>
      </c>
      <c r="I83" s="29"/>
      <c r="P83" s="27"/>
    </row>
    <row r="84" spans="1:16" ht="21.75" customHeight="1" x14ac:dyDescent="0.3">
      <c r="A84" s="20"/>
      <c r="B84" s="21" t="s">
        <v>26</v>
      </c>
      <c r="C84" s="21"/>
      <c r="D84" s="21"/>
      <c r="E84" s="21"/>
      <c r="F84" s="21"/>
      <c r="G84" s="21"/>
      <c r="H84" s="21"/>
      <c r="I84" s="21"/>
      <c r="J84" s="21"/>
      <c r="K84" s="21"/>
      <c r="L84" s="21"/>
      <c r="M84" s="21"/>
      <c r="N84" s="21"/>
      <c r="O84" s="21"/>
      <c r="P84" s="22"/>
    </row>
    <row r="85" spans="1:16" ht="21.75" customHeight="1" x14ac:dyDescent="0.3">
      <c r="A85" s="26"/>
      <c r="D85" s="2" t="s">
        <v>27</v>
      </c>
      <c r="H85" s="2" t="s">
        <v>33</v>
      </c>
      <c r="N85" s="2" t="s">
        <v>34</v>
      </c>
      <c r="P85" s="27"/>
    </row>
    <row r="86" spans="1:16" ht="21.75" customHeight="1" x14ac:dyDescent="0.3">
      <c r="A86" s="26"/>
      <c r="B86" s="2" t="s">
        <v>28</v>
      </c>
      <c r="C86" s="161" t="s">
        <v>96</v>
      </c>
      <c r="D86" s="161"/>
      <c r="E86" s="161"/>
      <c r="G86" s="161" t="s">
        <v>113</v>
      </c>
      <c r="H86" s="161"/>
      <c r="I86" s="161"/>
      <c r="J86" s="161"/>
      <c r="K86" s="161"/>
      <c r="M86" s="162">
        <v>1</v>
      </c>
      <c r="N86" s="162"/>
      <c r="O86" s="162"/>
      <c r="P86" s="163"/>
    </row>
    <row r="87" spans="1:16" ht="21.75" customHeight="1" x14ac:dyDescent="0.3">
      <c r="A87" s="26"/>
      <c r="B87" s="2" t="s">
        <v>29</v>
      </c>
      <c r="C87" s="161" t="s">
        <v>111</v>
      </c>
      <c r="D87" s="161"/>
      <c r="E87" s="161"/>
      <c r="G87" s="161" t="s">
        <v>113</v>
      </c>
      <c r="H87" s="161"/>
      <c r="I87" s="161"/>
      <c r="J87" s="161"/>
      <c r="K87" s="161"/>
      <c r="M87" s="162">
        <v>1</v>
      </c>
      <c r="N87" s="162"/>
      <c r="O87" s="162"/>
      <c r="P87" s="163"/>
    </row>
    <row r="88" spans="1:16" ht="21.75" customHeight="1" x14ac:dyDescent="0.3">
      <c r="A88" s="26"/>
      <c r="B88" s="2" t="s">
        <v>30</v>
      </c>
      <c r="C88" s="161" t="s">
        <v>111</v>
      </c>
      <c r="D88" s="161"/>
      <c r="E88" s="161"/>
      <c r="G88" s="161"/>
      <c r="H88" s="161"/>
      <c r="I88" s="161"/>
      <c r="J88" s="161"/>
      <c r="K88" s="161"/>
      <c r="M88" s="162"/>
      <c r="N88" s="162"/>
      <c r="O88" s="162"/>
      <c r="P88" s="163"/>
    </row>
    <row r="89" spans="1:16" ht="21.75" customHeight="1" x14ac:dyDescent="0.3">
      <c r="A89" s="26"/>
      <c r="B89" s="2" t="s">
        <v>31</v>
      </c>
      <c r="C89" s="161" t="s">
        <v>112</v>
      </c>
      <c r="D89" s="161"/>
      <c r="E89" s="161"/>
      <c r="G89" s="161"/>
      <c r="H89" s="161"/>
      <c r="I89" s="161"/>
      <c r="J89" s="161"/>
      <c r="K89" s="161"/>
      <c r="M89" s="162"/>
      <c r="N89" s="162"/>
      <c r="O89" s="162"/>
      <c r="P89" s="163"/>
    </row>
    <row r="90" spans="1:16" ht="21.75" customHeight="1" x14ac:dyDescent="0.3">
      <c r="A90" s="23"/>
      <c r="B90" s="24"/>
      <c r="C90" s="164"/>
      <c r="D90" s="164"/>
      <c r="E90" s="164"/>
      <c r="F90" s="24"/>
      <c r="G90" s="24"/>
      <c r="H90" s="165"/>
      <c r="I90" s="165"/>
      <c r="J90" s="165"/>
      <c r="K90" s="165"/>
      <c r="L90" s="24"/>
      <c r="M90" s="24"/>
      <c r="N90" s="165"/>
      <c r="O90" s="165"/>
      <c r="P90" s="166"/>
    </row>
    <row r="95" spans="1:16" ht="29.25" customHeight="1" x14ac:dyDescent="0.3">
      <c r="A95" s="167" t="s">
        <v>251</v>
      </c>
      <c r="B95" s="167"/>
      <c r="C95" s="167"/>
      <c r="D95" s="167"/>
      <c r="E95" s="167"/>
      <c r="F95" s="167"/>
      <c r="G95" s="167"/>
      <c r="H95" s="167"/>
      <c r="I95" s="167"/>
      <c r="J95" s="167"/>
      <c r="K95" s="167"/>
      <c r="L95" s="167"/>
      <c r="M95" s="167"/>
      <c r="N95" s="167"/>
      <c r="O95" s="167"/>
      <c r="P95" s="167"/>
    </row>
    <row r="96" spans="1:16" ht="29.25" customHeight="1" x14ac:dyDescent="0.3">
      <c r="A96" s="168" t="s">
        <v>252</v>
      </c>
      <c r="B96" s="168"/>
      <c r="C96" s="168"/>
      <c r="D96" s="168"/>
      <c r="E96" s="168"/>
      <c r="F96" s="168"/>
      <c r="G96" s="168"/>
      <c r="H96" s="168"/>
      <c r="I96" s="168"/>
      <c r="J96" s="168"/>
      <c r="K96" s="168"/>
      <c r="L96" s="168"/>
      <c r="M96" s="168"/>
      <c r="N96" s="168"/>
      <c r="O96" s="168"/>
      <c r="P96" s="168"/>
    </row>
    <row r="97" spans="1:16" ht="37.5" customHeight="1" x14ac:dyDescent="0.3">
      <c r="A97" s="16" t="s">
        <v>12</v>
      </c>
      <c r="B97" s="17" t="s">
        <v>19</v>
      </c>
      <c r="C97" s="17"/>
      <c r="D97" s="17"/>
      <c r="E97" s="17"/>
      <c r="F97" s="18" t="s">
        <v>35</v>
      </c>
      <c r="G97" s="17" t="s">
        <v>249</v>
      </c>
      <c r="H97" s="17"/>
      <c r="I97" s="17"/>
      <c r="J97" s="17"/>
      <c r="K97" s="17"/>
      <c r="L97" s="17"/>
      <c r="M97" s="17"/>
      <c r="N97" s="17"/>
      <c r="O97" s="17"/>
      <c r="P97" s="19"/>
    </row>
    <row r="98" spans="1:16" ht="33" customHeight="1" x14ac:dyDescent="0.3">
      <c r="A98" s="50" t="s">
        <v>13</v>
      </c>
      <c r="B98" s="51" t="s">
        <v>1</v>
      </c>
      <c r="C98" s="51"/>
      <c r="D98" s="51"/>
      <c r="E98" s="51"/>
      <c r="F98" s="52" t="s">
        <v>35</v>
      </c>
      <c r="G98" s="169" t="s">
        <v>317</v>
      </c>
      <c r="H98" s="169"/>
      <c r="I98" s="169"/>
      <c r="J98" s="169"/>
      <c r="K98" s="169"/>
      <c r="L98" s="169"/>
      <c r="M98" s="169"/>
      <c r="N98" s="169"/>
      <c r="O98" s="169"/>
      <c r="P98" s="170"/>
    </row>
    <row r="99" spans="1:16" ht="23.25" customHeight="1" x14ac:dyDescent="0.3">
      <c r="A99" s="16" t="s">
        <v>11</v>
      </c>
      <c r="B99" s="17" t="s">
        <v>20</v>
      </c>
      <c r="C99" s="17"/>
      <c r="D99" s="17"/>
      <c r="E99" s="17"/>
      <c r="F99" s="18" t="s">
        <v>35</v>
      </c>
      <c r="G99" s="17" t="s">
        <v>301</v>
      </c>
      <c r="H99" s="17"/>
      <c r="I99" s="17"/>
      <c r="J99" s="17"/>
      <c r="K99" s="17"/>
      <c r="L99" s="17"/>
      <c r="M99" s="17"/>
      <c r="N99" s="17"/>
      <c r="O99" s="17"/>
      <c r="P99" s="19"/>
    </row>
    <row r="100" spans="1:16" ht="23.25" customHeight="1" x14ac:dyDescent="0.3">
      <c r="A100" s="16" t="s">
        <v>14</v>
      </c>
      <c r="B100" s="17" t="s">
        <v>21</v>
      </c>
      <c r="C100" s="17"/>
      <c r="D100" s="17"/>
      <c r="E100" s="17"/>
      <c r="F100" s="18" t="s">
        <v>35</v>
      </c>
      <c r="G100" s="17" t="s">
        <v>250</v>
      </c>
      <c r="H100" s="17"/>
      <c r="I100" s="17"/>
      <c r="J100" s="17"/>
      <c r="K100" s="17"/>
      <c r="L100" s="17"/>
      <c r="M100" s="17"/>
      <c r="N100" s="17"/>
      <c r="O100" s="17"/>
      <c r="P100" s="19"/>
    </row>
    <row r="101" spans="1:16" ht="23.25" customHeight="1" x14ac:dyDescent="0.3">
      <c r="A101" s="16" t="s">
        <v>15</v>
      </c>
      <c r="B101" s="17" t="s">
        <v>5</v>
      </c>
      <c r="C101" s="17"/>
      <c r="D101" s="17"/>
      <c r="E101" s="17"/>
      <c r="F101" s="18" t="s">
        <v>35</v>
      </c>
      <c r="G101" s="21" t="s">
        <v>318</v>
      </c>
      <c r="H101" s="17"/>
      <c r="I101" s="17"/>
      <c r="J101" s="17"/>
      <c r="K101" s="17"/>
      <c r="L101" s="17"/>
      <c r="M101" s="17"/>
      <c r="N101" s="17"/>
      <c r="O101" s="17"/>
      <c r="P101" s="19"/>
    </row>
    <row r="102" spans="1:16" ht="23.25" customHeight="1" x14ac:dyDescent="0.3">
      <c r="A102" s="16" t="s">
        <v>16</v>
      </c>
      <c r="B102" s="17" t="s">
        <v>22</v>
      </c>
      <c r="C102" s="17"/>
      <c r="D102" s="17"/>
      <c r="E102" s="17"/>
      <c r="F102" s="18" t="s">
        <v>35</v>
      </c>
      <c r="G102" s="91" t="s">
        <v>319</v>
      </c>
      <c r="H102" s="17"/>
      <c r="I102" s="17"/>
      <c r="J102" s="17"/>
      <c r="K102" s="17"/>
      <c r="L102" s="17"/>
      <c r="M102" s="17"/>
      <c r="N102" s="17"/>
      <c r="O102" s="17"/>
      <c r="P102" s="19"/>
    </row>
    <row r="103" spans="1:16" ht="23.25" customHeight="1" x14ac:dyDescent="0.3">
      <c r="A103" s="16" t="s">
        <v>17</v>
      </c>
      <c r="B103" s="17" t="s">
        <v>23</v>
      </c>
      <c r="C103" s="17"/>
      <c r="D103" s="17"/>
      <c r="E103" s="17"/>
      <c r="F103" s="18" t="s">
        <v>35</v>
      </c>
      <c r="G103" s="159" t="s">
        <v>316</v>
      </c>
      <c r="H103" s="159"/>
      <c r="I103" s="159"/>
      <c r="J103" s="159"/>
      <c r="K103" s="159"/>
      <c r="L103" s="159"/>
      <c r="M103" s="159"/>
      <c r="N103" s="159"/>
      <c r="O103" s="159"/>
      <c r="P103" s="160"/>
    </row>
    <row r="104" spans="1:16" ht="23.25" customHeight="1" x14ac:dyDescent="0.3">
      <c r="A104" s="20" t="s">
        <v>18</v>
      </c>
      <c r="B104" s="21" t="s">
        <v>264</v>
      </c>
      <c r="C104" s="21"/>
      <c r="D104" s="21"/>
      <c r="E104" s="21"/>
      <c r="F104" s="21" t="s">
        <v>35</v>
      </c>
      <c r="G104" s="21" t="s">
        <v>266</v>
      </c>
      <c r="H104" s="49"/>
      <c r="I104" s="21"/>
      <c r="J104" s="21"/>
      <c r="K104" s="21"/>
      <c r="L104" s="21"/>
      <c r="M104" s="21"/>
      <c r="N104" s="21"/>
      <c r="O104" s="21"/>
      <c r="P104" s="22"/>
    </row>
    <row r="105" spans="1:16" ht="23.25" customHeight="1" x14ac:dyDescent="0.3">
      <c r="A105" s="26"/>
      <c r="B105" s="2" t="s">
        <v>134</v>
      </c>
      <c r="F105" s="2" t="s">
        <v>35</v>
      </c>
      <c r="G105" s="2" t="s">
        <v>267</v>
      </c>
      <c r="H105" s="29"/>
      <c r="P105" s="27"/>
    </row>
    <row r="106" spans="1:16" ht="23.25" customHeight="1" x14ac:dyDescent="0.3">
      <c r="A106" s="23"/>
      <c r="B106" s="24" t="s">
        <v>265</v>
      </c>
      <c r="C106" s="24"/>
      <c r="D106" s="24"/>
      <c r="E106" s="24"/>
      <c r="F106" s="24" t="s">
        <v>35</v>
      </c>
      <c r="G106" s="24" t="s">
        <v>263</v>
      </c>
      <c r="H106" s="24"/>
      <c r="I106" s="87"/>
      <c r="J106" s="24"/>
      <c r="K106" s="24"/>
      <c r="L106" s="24"/>
      <c r="M106" s="24"/>
      <c r="N106" s="24"/>
      <c r="O106" s="24"/>
      <c r="P106" s="25"/>
    </row>
    <row r="107" spans="1:16" ht="23.25" customHeight="1" x14ac:dyDescent="0.3">
      <c r="A107" s="20" t="s">
        <v>89</v>
      </c>
      <c r="B107" s="21" t="s">
        <v>253</v>
      </c>
      <c r="C107" s="21"/>
      <c r="D107" s="21"/>
      <c r="E107" s="21" t="s">
        <v>24</v>
      </c>
      <c r="F107" s="21"/>
      <c r="G107" s="21"/>
      <c r="H107" s="21"/>
      <c r="I107" s="49" t="s">
        <v>35</v>
      </c>
      <c r="J107" s="49">
        <v>0</v>
      </c>
      <c r="K107" s="2" t="s">
        <v>4</v>
      </c>
      <c r="L107" s="21"/>
      <c r="M107" s="21"/>
      <c r="N107" s="21"/>
      <c r="O107" s="21"/>
      <c r="P107" s="22"/>
    </row>
    <row r="108" spans="1:16" ht="23.25" customHeight="1" x14ac:dyDescent="0.3">
      <c r="A108" s="23"/>
      <c r="B108" s="24"/>
      <c r="C108" s="24"/>
      <c r="D108" s="24"/>
      <c r="E108" s="24" t="s">
        <v>25</v>
      </c>
      <c r="F108" s="24"/>
      <c r="G108" s="24"/>
      <c r="H108" s="24"/>
      <c r="I108" s="87" t="s">
        <v>35</v>
      </c>
      <c r="J108" s="87">
        <v>2</v>
      </c>
      <c r="K108" s="2" t="s">
        <v>4</v>
      </c>
      <c r="L108" s="24"/>
      <c r="M108" s="24"/>
      <c r="N108" s="24"/>
      <c r="O108" s="24"/>
      <c r="P108" s="25"/>
    </row>
    <row r="109" spans="1:16" ht="21.75" customHeight="1" x14ac:dyDescent="0.3">
      <c r="A109" s="26" t="s">
        <v>254</v>
      </c>
      <c r="B109" s="2" t="s">
        <v>255</v>
      </c>
      <c r="H109" s="171" t="s">
        <v>262</v>
      </c>
      <c r="I109" s="171"/>
      <c r="J109" s="171"/>
      <c r="K109" s="171"/>
      <c r="P109" s="27"/>
    </row>
    <row r="110" spans="1:16" ht="21.75" customHeight="1" x14ac:dyDescent="0.3">
      <c r="A110" s="26"/>
      <c r="I110" s="29"/>
      <c r="J110" s="2" t="s">
        <v>261</v>
      </c>
      <c r="N110" s="2" t="s">
        <v>263</v>
      </c>
      <c r="P110" s="27"/>
    </row>
    <row r="111" spans="1:16" ht="21.75" customHeight="1" x14ac:dyDescent="0.3">
      <c r="A111" s="26"/>
      <c r="B111" s="2" t="s">
        <v>256</v>
      </c>
      <c r="F111" s="2" t="s">
        <v>35</v>
      </c>
      <c r="I111" s="29"/>
      <c r="J111" s="2" t="s">
        <v>4</v>
      </c>
      <c r="O111" s="2" t="s">
        <v>4</v>
      </c>
      <c r="P111" s="27"/>
    </row>
    <row r="112" spans="1:16" ht="21.75" customHeight="1" x14ac:dyDescent="0.3">
      <c r="A112" s="26"/>
      <c r="B112" s="2" t="s">
        <v>257</v>
      </c>
      <c r="F112" s="2" t="s">
        <v>35</v>
      </c>
      <c r="I112" s="29"/>
      <c r="J112" s="2" t="s">
        <v>4</v>
      </c>
      <c r="O112" s="2" t="s">
        <v>4</v>
      </c>
      <c r="P112" s="27"/>
    </row>
    <row r="113" spans="1:16" ht="21.75" customHeight="1" x14ac:dyDescent="0.3">
      <c r="A113" s="26"/>
      <c r="B113" s="2" t="s">
        <v>258</v>
      </c>
      <c r="F113" s="2" t="s">
        <v>35</v>
      </c>
      <c r="I113" s="29"/>
      <c r="J113" s="2" t="s">
        <v>4</v>
      </c>
      <c r="O113" s="2" t="s">
        <v>4</v>
      </c>
      <c r="P113" s="27"/>
    </row>
    <row r="114" spans="1:16" ht="21.75" customHeight="1" x14ac:dyDescent="0.3">
      <c r="A114" s="26"/>
      <c r="B114" s="2" t="s">
        <v>259</v>
      </c>
      <c r="F114" s="2" t="s">
        <v>35</v>
      </c>
      <c r="I114" s="29"/>
      <c r="J114" s="2" t="s">
        <v>4</v>
      </c>
      <c r="O114" s="2" t="s">
        <v>4</v>
      </c>
      <c r="P114" s="27"/>
    </row>
    <row r="115" spans="1:16" ht="21.75" customHeight="1" x14ac:dyDescent="0.3">
      <c r="A115" s="26"/>
      <c r="B115" s="2" t="s">
        <v>260</v>
      </c>
      <c r="I115" s="29"/>
      <c r="P115" s="27"/>
    </row>
    <row r="116" spans="1:16" ht="21.75" customHeight="1" x14ac:dyDescent="0.3">
      <c r="A116" s="20"/>
      <c r="B116" s="21" t="s">
        <v>26</v>
      </c>
      <c r="C116" s="21"/>
      <c r="D116" s="21"/>
      <c r="E116" s="21"/>
      <c r="F116" s="21"/>
      <c r="G116" s="21"/>
      <c r="H116" s="21"/>
      <c r="I116" s="21"/>
      <c r="J116" s="21"/>
      <c r="K116" s="21"/>
      <c r="L116" s="21"/>
      <c r="M116" s="21"/>
      <c r="N116" s="21"/>
      <c r="O116" s="21"/>
      <c r="P116" s="22"/>
    </row>
    <row r="117" spans="1:16" ht="21.75" customHeight="1" x14ac:dyDescent="0.3">
      <c r="A117" s="26"/>
      <c r="D117" s="2" t="s">
        <v>27</v>
      </c>
      <c r="H117" s="2" t="s">
        <v>33</v>
      </c>
      <c r="N117" s="2" t="s">
        <v>34</v>
      </c>
      <c r="P117" s="27"/>
    </row>
    <row r="118" spans="1:16" ht="21.75" customHeight="1" x14ac:dyDescent="0.3">
      <c r="A118" s="26"/>
      <c r="B118" s="2" t="s">
        <v>28</v>
      </c>
      <c r="C118" s="161" t="s">
        <v>96</v>
      </c>
      <c r="D118" s="161"/>
      <c r="E118" s="161"/>
      <c r="G118" s="161" t="s">
        <v>113</v>
      </c>
      <c r="H118" s="161"/>
      <c r="I118" s="161"/>
      <c r="J118" s="161"/>
      <c r="K118" s="161"/>
      <c r="M118" s="162">
        <v>1</v>
      </c>
      <c r="N118" s="162"/>
      <c r="O118" s="162"/>
      <c r="P118" s="163"/>
    </row>
    <row r="119" spans="1:16" ht="21.75" customHeight="1" x14ac:dyDescent="0.3">
      <c r="A119" s="26"/>
      <c r="B119" s="2" t="s">
        <v>29</v>
      </c>
      <c r="C119" s="161" t="s">
        <v>111</v>
      </c>
      <c r="D119" s="161"/>
      <c r="E119" s="161"/>
      <c r="G119" s="161" t="s">
        <v>113</v>
      </c>
      <c r="H119" s="161"/>
      <c r="I119" s="161"/>
      <c r="J119" s="161"/>
      <c r="K119" s="161"/>
      <c r="M119" s="162">
        <v>1</v>
      </c>
      <c r="N119" s="162"/>
      <c r="O119" s="162"/>
      <c r="P119" s="163"/>
    </row>
    <row r="120" spans="1:16" ht="21.75" customHeight="1" x14ac:dyDescent="0.3">
      <c r="A120" s="26"/>
      <c r="B120" s="2" t="s">
        <v>30</v>
      </c>
      <c r="C120" s="161" t="s">
        <v>111</v>
      </c>
      <c r="D120" s="161"/>
      <c r="E120" s="161"/>
      <c r="G120" s="161"/>
      <c r="H120" s="161"/>
      <c r="I120" s="161"/>
      <c r="J120" s="161"/>
      <c r="K120" s="161"/>
      <c r="M120" s="162"/>
      <c r="N120" s="162"/>
      <c r="O120" s="162"/>
      <c r="P120" s="163"/>
    </row>
    <row r="121" spans="1:16" ht="21.75" customHeight="1" x14ac:dyDescent="0.3">
      <c r="A121" s="26"/>
      <c r="B121" s="2" t="s">
        <v>31</v>
      </c>
      <c r="C121" s="161" t="s">
        <v>112</v>
      </c>
      <c r="D121" s="161"/>
      <c r="E121" s="161"/>
      <c r="G121" s="161"/>
      <c r="H121" s="161"/>
      <c r="I121" s="161"/>
      <c r="J121" s="161"/>
      <c r="K121" s="161"/>
      <c r="M121" s="162"/>
      <c r="N121" s="162"/>
      <c r="O121" s="162"/>
      <c r="P121" s="163"/>
    </row>
    <row r="122" spans="1:16" ht="21.75" customHeight="1" x14ac:dyDescent="0.3">
      <c r="A122" s="23"/>
      <c r="B122" s="24"/>
      <c r="C122" s="164"/>
      <c r="D122" s="164"/>
      <c r="E122" s="164"/>
      <c r="F122" s="24"/>
      <c r="G122" s="24"/>
      <c r="H122" s="165"/>
      <c r="I122" s="165"/>
      <c r="J122" s="165"/>
      <c r="K122" s="165"/>
      <c r="L122" s="24"/>
      <c r="M122" s="24"/>
      <c r="N122" s="165"/>
      <c r="O122" s="165"/>
      <c r="P122" s="166"/>
    </row>
    <row r="124" spans="1:16" ht="33" customHeight="1" x14ac:dyDescent="0.3">
      <c r="A124" s="167" t="s">
        <v>251</v>
      </c>
      <c r="B124" s="167"/>
      <c r="C124" s="167"/>
      <c r="D124" s="167"/>
      <c r="E124" s="167"/>
      <c r="F124" s="167"/>
      <c r="G124" s="167"/>
      <c r="H124" s="167"/>
      <c r="I124" s="167"/>
      <c r="J124" s="167"/>
      <c r="K124" s="167"/>
      <c r="L124" s="167"/>
      <c r="M124" s="167"/>
      <c r="N124" s="167"/>
      <c r="O124" s="167"/>
      <c r="P124" s="167"/>
    </row>
    <row r="125" spans="1:16" ht="33" customHeight="1" x14ac:dyDescent="0.3">
      <c r="A125" s="168" t="s">
        <v>252</v>
      </c>
      <c r="B125" s="168"/>
      <c r="C125" s="168"/>
      <c r="D125" s="168"/>
      <c r="E125" s="168"/>
      <c r="F125" s="168"/>
      <c r="G125" s="168"/>
      <c r="H125" s="168"/>
      <c r="I125" s="168"/>
      <c r="J125" s="168"/>
      <c r="K125" s="168"/>
      <c r="L125" s="168"/>
      <c r="M125" s="168"/>
      <c r="N125" s="168"/>
      <c r="O125" s="168"/>
      <c r="P125" s="168"/>
    </row>
    <row r="126" spans="1:16" ht="23.25" customHeight="1" x14ac:dyDescent="0.3">
      <c r="A126" s="16" t="s">
        <v>12</v>
      </c>
      <c r="B126" s="17" t="s">
        <v>19</v>
      </c>
      <c r="C126" s="17"/>
      <c r="D126" s="17"/>
      <c r="E126" s="17"/>
      <c r="F126" s="18" t="s">
        <v>35</v>
      </c>
      <c r="G126" s="17" t="s">
        <v>300</v>
      </c>
      <c r="H126" s="17"/>
      <c r="I126" s="17"/>
      <c r="J126" s="17"/>
      <c r="K126" s="17"/>
      <c r="L126" s="17"/>
      <c r="M126" s="17"/>
      <c r="N126" s="17"/>
      <c r="O126" s="17"/>
      <c r="P126" s="19"/>
    </row>
    <row r="127" spans="1:16" ht="51" customHeight="1" x14ac:dyDescent="0.3">
      <c r="A127" s="50" t="s">
        <v>13</v>
      </c>
      <c r="B127" s="51" t="s">
        <v>1</v>
      </c>
      <c r="C127" s="51"/>
      <c r="D127" s="51"/>
      <c r="E127" s="51"/>
      <c r="F127" s="52" t="s">
        <v>35</v>
      </c>
      <c r="G127" s="169" t="s">
        <v>303</v>
      </c>
      <c r="H127" s="169"/>
      <c r="I127" s="169"/>
      <c r="J127" s="169"/>
      <c r="K127" s="169"/>
      <c r="L127" s="169"/>
      <c r="M127" s="169"/>
      <c r="N127" s="169"/>
      <c r="O127" s="169"/>
      <c r="P127" s="170"/>
    </row>
    <row r="128" spans="1:16" ht="21.75" customHeight="1" x14ac:dyDescent="0.3">
      <c r="A128" s="16" t="s">
        <v>11</v>
      </c>
      <c r="B128" s="17" t="s">
        <v>20</v>
      </c>
      <c r="C128" s="17"/>
      <c r="D128" s="17"/>
      <c r="E128" s="17"/>
      <c r="F128" s="18" t="s">
        <v>35</v>
      </c>
      <c r="G128" s="17" t="s">
        <v>301</v>
      </c>
      <c r="H128" s="17"/>
      <c r="I128" s="17"/>
      <c r="J128" s="17"/>
      <c r="K128" s="17"/>
      <c r="L128" s="17"/>
      <c r="M128" s="17"/>
      <c r="N128" s="17"/>
      <c r="O128" s="17"/>
      <c r="P128" s="19"/>
    </row>
    <row r="129" spans="1:16" ht="21.75" customHeight="1" x14ac:dyDescent="0.3">
      <c r="A129" s="16" t="s">
        <v>14</v>
      </c>
      <c r="B129" s="17" t="s">
        <v>21</v>
      </c>
      <c r="C129" s="17"/>
      <c r="D129" s="17"/>
      <c r="E129" s="17"/>
      <c r="F129" s="18" t="s">
        <v>35</v>
      </c>
      <c r="G129" s="17" t="s">
        <v>250</v>
      </c>
      <c r="H129" s="17"/>
      <c r="I129" s="17"/>
      <c r="J129" s="17"/>
      <c r="K129" s="17"/>
      <c r="L129" s="17"/>
      <c r="M129" s="17"/>
      <c r="N129" s="17"/>
      <c r="O129" s="17"/>
      <c r="P129" s="19"/>
    </row>
    <row r="130" spans="1:16" ht="21.75" customHeight="1" x14ac:dyDescent="0.3">
      <c r="A130" s="16" t="s">
        <v>15</v>
      </c>
      <c r="B130" s="17" t="s">
        <v>5</v>
      </c>
      <c r="C130" s="17"/>
      <c r="D130" s="17"/>
      <c r="E130" s="17"/>
      <c r="F130" s="18" t="s">
        <v>35</v>
      </c>
      <c r="G130" s="21" t="s">
        <v>320</v>
      </c>
      <c r="H130" s="17"/>
      <c r="I130" s="17"/>
      <c r="J130" s="17"/>
      <c r="K130" s="17"/>
      <c r="L130" s="17"/>
      <c r="M130" s="17"/>
      <c r="N130" s="17"/>
      <c r="O130" s="17"/>
      <c r="P130" s="19"/>
    </row>
    <row r="131" spans="1:16" ht="21.75" customHeight="1" x14ac:dyDescent="0.3">
      <c r="A131" s="16" t="s">
        <v>16</v>
      </c>
      <c r="B131" s="17" t="s">
        <v>22</v>
      </c>
      <c r="C131" s="17"/>
      <c r="D131" s="17"/>
      <c r="E131" s="17"/>
      <c r="F131" s="18" t="s">
        <v>35</v>
      </c>
      <c r="G131" s="91" t="s">
        <v>321</v>
      </c>
      <c r="H131" s="17"/>
      <c r="I131" s="17"/>
      <c r="J131" s="17"/>
      <c r="K131" s="17"/>
      <c r="L131" s="17"/>
      <c r="M131" s="17"/>
      <c r="N131" s="17"/>
      <c r="O131" s="17"/>
      <c r="P131" s="19"/>
    </row>
    <row r="132" spans="1:16" ht="21.75" customHeight="1" x14ac:dyDescent="0.3">
      <c r="A132" s="16" t="s">
        <v>17</v>
      </c>
      <c r="B132" s="17" t="s">
        <v>23</v>
      </c>
      <c r="C132" s="17"/>
      <c r="D132" s="17"/>
      <c r="E132" s="17"/>
      <c r="F132" s="18" t="s">
        <v>35</v>
      </c>
      <c r="G132" s="159" t="s">
        <v>322</v>
      </c>
      <c r="H132" s="159"/>
      <c r="I132" s="159"/>
      <c r="J132" s="159"/>
      <c r="K132" s="159"/>
      <c r="L132" s="159"/>
      <c r="M132" s="159"/>
      <c r="N132" s="159"/>
      <c r="O132" s="159"/>
      <c r="P132" s="160"/>
    </row>
    <row r="133" spans="1:16" ht="21.75" customHeight="1" x14ac:dyDescent="0.3">
      <c r="A133" s="20" t="s">
        <v>18</v>
      </c>
      <c r="B133" s="21" t="s">
        <v>264</v>
      </c>
      <c r="C133" s="21"/>
      <c r="D133" s="21"/>
      <c r="E133" s="21"/>
      <c r="F133" s="21" t="s">
        <v>35</v>
      </c>
      <c r="G133" s="21" t="s">
        <v>266</v>
      </c>
      <c r="H133" s="49"/>
      <c r="I133" s="21"/>
      <c r="J133" s="21"/>
      <c r="K133" s="21"/>
      <c r="L133" s="21"/>
      <c r="M133" s="21"/>
      <c r="N133" s="21"/>
      <c r="O133" s="21"/>
      <c r="P133" s="22"/>
    </row>
    <row r="134" spans="1:16" ht="21.75" customHeight="1" x14ac:dyDescent="0.3">
      <c r="A134" s="26"/>
      <c r="B134" s="2" t="s">
        <v>134</v>
      </c>
      <c r="F134" s="2" t="s">
        <v>35</v>
      </c>
      <c r="G134" s="2" t="s">
        <v>267</v>
      </c>
      <c r="H134" s="29"/>
      <c r="P134" s="27"/>
    </row>
    <row r="135" spans="1:16" ht="21.75" customHeight="1" x14ac:dyDescent="0.3">
      <c r="A135" s="23"/>
      <c r="B135" s="24" t="s">
        <v>265</v>
      </c>
      <c r="C135" s="24"/>
      <c r="D135" s="24"/>
      <c r="E135" s="24"/>
      <c r="F135" s="24" t="s">
        <v>35</v>
      </c>
      <c r="G135" s="24" t="s">
        <v>263</v>
      </c>
      <c r="H135" s="24"/>
      <c r="I135" s="87"/>
      <c r="J135" s="24"/>
      <c r="K135" s="24"/>
      <c r="L135" s="24"/>
      <c r="M135" s="24"/>
      <c r="N135" s="24"/>
      <c r="O135" s="24"/>
      <c r="P135" s="25"/>
    </row>
    <row r="136" spans="1:16" ht="21.75" customHeight="1" x14ac:dyDescent="0.3">
      <c r="A136" s="20" t="s">
        <v>89</v>
      </c>
      <c r="B136" s="21" t="s">
        <v>253</v>
      </c>
      <c r="C136" s="21"/>
      <c r="D136" s="21"/>
      <c r="E136" s="21" t="s">
        <v>24</v>
      </c>
      <c r="F136" s="21"/>
      <c r="G136" s="21"/>
      <c r="H136" s="21"/>
      <c r="I136" s="49" t="s">
        <v>35</v>
      </c>
      <c r="J136" s="49">
        <v>0</v>
      </c>
      <c r="K136" s="2" t="s">
        <v>4</v>
      </c>
      <c r="L136" s="21"/>
      <c r="M136" s="21"/>
      <c r="N136" s="21"/>
      <c r="O136" s="21"/>
      <c r="P136" s="22"/>
    </row>
    <row r="137" spans="1:16" ht="21.75" customHeight="1" x14ac:dyDescent="0.3">
      <c r="A137" s="23"/>
      <c r="B137" s="24"/>
      <c r="C137" s="24"/>
      <c r="D137" s="24"/>
      <c r="E137" s="24" t="s">
        <v>25</v>
      </c>
      <c r="F137" s="24"/>
      <c r="G137" s="24"/>
      <c r="H137" s="24"/>
      <c r="I137" s="87" t="s">
        <v>35</v>
      </c>
      <c r="J137" s="87">
        <v>2</v>
      </c>
      <c r="K137" s="2" t="s">
        <v>4</v>
      </c>
      <c r="L137" s="24"/>
      <c r="M137" s="24"/>
      <c r="N137" s="24"/>
      <c r="O137" s="24"/>
      <c r="P137" s="25"/>
    </row>
    <row r="138" spans="1:16" ht="21.75" customHeight="1" x14ac:dyDescent="0.3">
      <c r="A138" s="26" t="s">
        <v>254</v>
      </c>
      <c r="B138" s="2" t="s">
        <v>255</v>
      </c>
      <c r="H138" s="171" t="s">
        <v>262</v>
      </c>
      <c r="I138" s="171"/>
      <c r="J138" s="171"/>
      <c r="K138" s="171"/>
      <c r="P138" s="27"/>
    </row>
    <row r="139" spans="1:16" ht="21.75" customHeight="1" x14ac:dyDescent="0.3">
      <c r="A139" s="26"/>
      <c r="I139" s="29"/>
      <c r="J139" s="2" t="s">
        <v>261</v>
      </c>
      <c r="N139" s="2" t="s">
        <v>263</v>
      </c>
      <c r="P139" s="27"/>
    </row>
    <row r="140" spans="1:16" ht="21.75" customHeight="1" x14ac:dyDescent="0.3">
      <c r="A140" s="26"/>
      <c r="B140" s="2" t="s">
        <v>256</v>
      </c>
      <c r="F140" s="2" t="s">
        <v>35</v>
      </c>
      <c r="I140" s="29"/>
      <c r="J140" s="2" t="s">
        <v>4</v>
      </c>
      <c r="O140" s="2" t="s">
        <v>4</v>
      </c>
      <c r="P140" s="27"/>
    </row>
    <row r="141" spans="1:16" ht="21.75" customHeight="1" x14ac:dyDescent="0.3">
      <c r="A141" s="26"/>
      <c r="B141" s="2" t="s">
        <v>257</v>
      </c>
      <c r="F141" s="2" t="s">
        <v>35</v>
      </c>
      <c r="I141" s="29"/>
      <c r="J141" s="2" t="s">
        <v>4</v>
      </c>
      <c r="O141" s="2" t="s">
        <v>4</v>
      </c>
      <c r="P141" s="27"/>
    </row>
    <row r="142" spans="1:16" ht="21.75" customHeight="1" x14ac:dyDescent="0.3">
      <c r="A142" s="26"/>
      <c r="B142" s="2" t="s">
        <v>258</v>
      </c>
      <c r="F142" s="2" t="s">
        <v>35</v>
      </c>
      <c r="I142" s="29"/>
      <c r="J142" s="2" t="s">
        <v>4</v>
      </c>
      <c r="O142" s="2" t="s">
        <v>4</v>
      </c>
      <c r="P142" s="27"/>
    </row>
    <row r="143" spans="1:16" ht="21.75" customHeight="1" x14ac:dyDescent="0.3">
      <c r="A143" s="26"/>
      <c r="B143" s="2" t="s">
        <v>259</v>
      </c>
      <c r="F143" s="2" t="s">
        <v>35</v>
      </c>
      <c r="I143" s="29"/>
      <c r="J143" s="2" t="s">
        <v>4</v>
      </c>
      <c r="O143" s="2" t="s">
        <v>4</v>
      </c>
      <c r="P143" s="27"/>
    </row>
    <row r="144" spans="1:16" ht="21.75" customHeight="1" x14ac:dyDescent="0.3">
      <c r="A144" s="26"/>
      <c r="B144" s="2" t="s">
        <v>260</v>
      </c>
      <c r="I144" s="29"/>
      <c r="P144" s="27"/>
    </row>
    <row r="145" spans="1:16" ht="21.75" customHeight="1" x14ac:dyDescent="0.3">
      <c r="A145" s="20"/>
      <c r="B145" s="21" t="s">
        <v>26</v>
      </c>
      <c r="C145" s="21"/>
      <c r="D145" s="21"/>
      <c r="E145" s="21"/>
      <c r="F145" s="21"/>
      <c r="G145" s="21"/>
      <c r="H145" s="21"/>
      <c r="I145" s="21"/>
      <c r="J145" s="21"/>
      <c r="K145" s="21"/>
      <c r="L145" s="21"/>
      <c r="M145" s="21"/>
      <c r="N145" s="21"/>
      <c r="O145" s="21"/>
      <c r="P145" s="22"/>
    </row>
    <row r="146" spans="1:16" ht="21.75" customHeight="1" x14ac:dyDescent="0.3">
      <c r="A146" s="26"/>
      <c r="D146" s="2" t="s">
        <v>27</v>
      </c>
      <c r="H146" s="2" t="s">
        <v>33</v>
      </c>
      <c r="N146" s="2" t="s">
        <v>34</v>
      </c>
      <c r="P146" s="27"/>
    </row>
    <row r="147" spans="1:16" ht="21.75" customHeight="1" x14ac:dyDescent="0.3">
      <c r="A147" s="26"/>
      <c r="B147" s="2" t="s">
        <v>28</v>
      </c>
      <c r="C147" s="161" t="s">
        <v>96</v>
      </c>
      <c r="D147" s="161"/>
      <c r="E147" s="161"/>
      <c r="G147" s="161" t="s">
        <v>113</v>
      </c>
      <c r="H147" s="161"/>
      <c r="I147" s="161"/>
      <c r="J147" s="161"/>
      <c r="K147" s="161"/>
      <c r="M147" s="162">
        <v>1</v>
      </c>
      <c r="N147" s="162"/>
      <c r="O147" s="162"/>
      <c r="P147" s="163"/>
    </row>
    <row r="148" spans="1:16" ht="21.75" customHeight="1" x14ac:dyDescent="0.3">
      <c r="A148" s="26"/>
      <c r="B148" s="2" t="s">
        <v>29</v>
      </c>
      <c r="C148" s="161" t="s">
        <v>111</v>
      </c>
      <c r="D148" s="161"/>
      <c r="E148" s="161"/>
      <c r="G148" s="161" t="s">
        <v>113</v>
      </c>
      <c r="H148" s="161"/>
      <c r="I148" s="161"/>
      <c r="J148" s="161"/>
      <c r="K148" s="161"/>
      <c r="M148" s="162">
        <v>1</v>
      </c>
      <c r="N148" s="162"/>
      <c r="O148" s="162"/>
      <c r="P148" s="163"/>
    </row>
    <row r="149" spans="1:16" ht="21.75" customHeight="1" x14ac:dyDescent="0.3">
      <c r="A149" s="26"/>
      <c r="B149" s="2" t="s">
        <v>30</v>
      </c>
      <c r="C149" s="161" t="s">
        <v>111</v>
      </c>
      <c r="D149" s="161"/>
      <c r="E149" s="161"/>
      <c r="G149" s="161"/>
      <c r="H149" s="161"/>
      <c r="I149" s="161"/>
      <c r="J149" s="161"/>
      <c r="K149" s="161"/>
      <c r="M149" s="162"/>
      <c r="N149" s="162"/>
      <c r="O149" s="162"/>
      <c r="P149" s="163"/>
    </row>
    <row r="150" spans="1:16" ht="21.75" customHeight="1" x14ac:dyDescent="0.3">
      <c r="A150" s="26"/>
      <c r="B150" s="2" t="s">
        <v>31</v>
      </c>
      <c r="C150" s="161" t="s">
        <v>112</v>
      </c>
      <c r="D150" s="161"/>
      <c r="E150" s="161"/>
      <c r="G150" s="161"/>
      <c r="H150" s="161"/>
      <c r="I150" s="161"/>
      <c r="J150" s="161"/>
      <c r="K150" s="161"/>
      <c r="M150" s="162"/>
      <c r="N150" s="162"/>
      <c r="O150" s="162"/>
      <c r="P150" s="163"/>
    </row>
    <row r="151" spans="1:16" ht="21.75" customHeight="1" x14ac:dyDescent="0.3">
      <c r="A151" s="23"/>
      <c r="B151" s="24"/>
      <c r="C151" s="164"/>
      <c r="D151" s="164"/>
      <c r="E151" s="164"/>
      <c r="F151" s="24"/>
      <c r="G151" s="24"/>
      <c r="H151" s="165"/>
      <c r="I151" s="165"/>
      <c r="J151" s="165"/>
      <c r="K151" s="165"/>
      <c r="L151" s="24"/>
      <c r="M151" s="24"/>
      <c r="N151" s="165"/>
      <c r="O151" s="165"/>
      <c r="P151" s="166"/>
    </row>
    <row r="153" spans="1:16" ht="30.75" customHeight="1" x14ac:dyDescent="0.3">
      <c r="A153" s="167" t="s">
        <v>251</v>
      </c>
      <c r="B153" s="167"/>
      <c r="C153" s="167"/>
      <c r="D153" s="167"/>
      <c r="E153" s="167"/>
      <c r="F153" s="167"/>
      <c r="G153" s="167"/>
      <c r="H153" s="167"/>
      <c r="I153" s="167"/>
      <c r="J153" s="167"/>
      <c r="K153" s="167"/>
      <c r="L153" s="167"/>
      <c r="M153" s="167"/>
      <c r="N153" s="167"/>
      <c r="O153" s="167"/>
      <c r="P153" s="167"/>
    </row>
    <row r="154" spans="1:16" ht="30.75" customHeight="1" x14ac:dyDescent="0.3">
      <c r="A154" s="168" t="s">
        <v>252</v>
      </c>
      <c r="B154" s="168"/>
      <c r="C154" s="168"/>
      <c r="D154" s="168"/>
      <c r="E154" s="168"/>
      <c r="F154" s="168"/>
      <c r="G154" s="168"/>
      <c r="H154" s="168"/>
      <c r="I154" s="168"/>
      <c r="J154" s="168"/>
      <c r="K154" s="168"/>
      <c r="L154" s="168"/>
      <c r="M154" s="168"/>
      <c r="N154" s="168"/>
      <c r="O154" s="168"/>
      <c r="P154" s="168"/>
    </row>
    <row r="155" spans="1:16" ht="24" customHeight="1" x14ac:dyDescent="0.3">
      <c r="A155" s="16" t="s">
        <v>12</v>
      </c>
      <c r="B155" s="17" t="s">
        <v>19</v>
      </c>
      <c r="C155" s="17"/>
      <c r="D155" s="17"/>
      <c r="E155" s="17"/>
      <c r="F155" s="18" t="s">
        <v>35</v>
      </c>
      <c r="G155" s="17" t="s">
        <v>300</v>
      </c>
      <c r="H155" s="17"/>
      <c r="I155" s="17"/>
      <c r="J155" s="17"/>
      <c r="K155" s="17"/>
      <c r="L155" s="17"/>
      <c r="M155" s="17"/>
      <c r="N155" s="17"/>
      <c r="O155" s="17"/>
      <c r="P155" s="19"/>
    </row>
    <row r="156" spans="1:16" ht="50.25" customHeight="1" x14ac:dyDescent="0.3">
      <c r="A156" s="50" t="s">
        <v>13</v>
      </c>
      <c r="B156" s="51" t="s">
        <v>1</v>
      </c>
      <c r="C156" s="51"/>
      <c r="D156" s="51"/>
      <c r="E156" s="51"/>
      <c r="F156" s="52" t="s">
        <v>35</v>
      </c>
      <c r="G156" s="169" t="s">
        <v>302</v>
      </c>
      <c r="H156" s="169"/>
      <c r="I156" s="169"/>
      <c r="J156" s="169"/>
      <c r="K156" s="169"/>
      <c r="L156" s="169"/>
      <c r="M156" s="169"/>
      <c r="N156" s="169"/>
      <c r="O156" s="169"/>
      <c r="P156" s="170"/>
    </row>
    <row r="157" spans="1:16" ht="24" customHeight="1" x14ac:dyDescent="0.3">
      <c r="A157" s="16" t="s">
        <v>11</v>
      </c>
      <c r="B157" s="17" t="s">
        <v>20</v>
      </c>
      <c r="C157" s="17"/>
      <c r="D157" s="17"/>
      <c r="E157" s="17"/>
      <c r="F157" s="18" t="s">
        <v>35</v>
      </c>
      <c r="G157" s="17" t="s">
        <v>301</v>
      </c>
      <c r="H157" s="17"/>
      <c r="I157" s="17"/>
      <c r="J157" s="17"/>
      <c r="K157" s="17"/>
      <c r="L157" s="17"/>
      <c r="M157" s="17"/>
      <c r="N157" s="17"/>
      <c r="O157" s="17"/>
      <c r="P157" s="19"/>
    </row>
    <row r="158" spans="1:16" ht="24" customHeight="1" x14ac:dyDescent="0.3">
      <c r="A158" s="16" t="s">
        <v>14</v>
      </c>
      <c r="B158" s="17" t="s">
        <v>21</v>
      </c>
      <c r="C158" s="17"/>
      <c r="D158" s="17"/>
      <c r="E158" s="17"/>
      <c r="F158" s="18" t="s">
        <v>35</v>
      </c>
      <c r="G158" s="17" t="s">
        <v>250</v>
      </c>
      <c r="H158" s="17"/>
      <c r="I158" s="17"/>
      <c r="J158" s="17"/>
      <c r="K158" s="17"/>
      <c r="L158" s="17"/>
      <c r="M158" s="17"/>
      <c r="N158" s="17"/>
      <c r="O158" s="17"/>
      <c r="P158" s="19"/>
    </row>
    <row r="159" spans="1:16" ht="24" customHeight="1" x14ac:dyDescent="0.3">
      <c r="A159" s="16" t="s">
        <v>15</v>
      </c>
      <c r="B159" s="17" t="s">
        <v>5</v>
      </c>
      <c r="C159" s="17"/>
      <c r="D159" s="17"/>
      <c r="E159" s="17"/>
      <c r="F159" s="18" t="s">
        <v>35</v>
      </c>
      <c r="G159" s="21" t="s">
        <v>323</v>
      </c>
      <c r="H159" s="17"/>
      <c r="I159" s="17"/>
      <c r="J159" s="17"/>
      <c r="K159" s="17"/>
      <c r="L159" s="17"/>
      <c r="M159" s="17"/>
      <c r="N159" s="17"/>
      <c r="O159" s="17"/>
      <c r="P159" s="19"/>
    </row>
    <row r="160" spans="1:16" ht="24" customHeight="1" x14ac:dyDescent="0.3">
      <c r="A160" s="16" t="s">
        <v>16</v>
      </c>
      <c r="B160" s="17" t="s">
        <v>22</v>
      </c>
      <c r="C160" s="17"/>
      <c r="D160" s="17"/>
      <c r="E160" s="17"/>
      <c r="F160" s="18" t="s">
        <v>35</v>
      </c>
      <c r="G160" s="91" t="s">
        <v>324</v>
      </c>
      <c r="H160" s="17"/>
      <c r="I160" s="17"/>
      <c r="J160" s="17"/>
      <c r="K160" s="17"/>
      <c r="L160" s="17"/>
      <c r="M160" s="17"/>
      <c r="N160" s="17"/>
      <c r="O160" s="17"/>
      <c r="P160" s="19"/>
    </row>
    <row r="161" spans="1:16" ht="24" customHeight="1" x14ac:dyDescent="0.3">
      <c r="A161" s="16" t="s">
        <v>17</v>
      </c>
      <c r="B161" s="17" t="s">
        <v>23</v>
      </c>
      <c r="C161" s="17"/>
      <c r="D161" s="17"/>
      <c r="E161" s="17"/>
      <c r="F161" s="18" t="s">
        <v>35</v>
      </c>
      <c r="G161" s="159" t="s">
        <v>322</v>
      </c>
      <c r="H161" s="159"/>
      <c r="I161" s="159"/>
      <c r="J161" s="159"/>
      <c r="K161" s="159"/>
      <c r="L161" s="159"/>
      <c r="M161" s="159"/>
      <c r="N161" s="159"/>
      <c r="O161" s="159"/>
      <c r="P161" s="160"/>
    </row>
    <row r="162" spans="1:16" ht="24" customHeight="1" x14ac:dyDescent="0.3">
      <c r="A162" s="20" t="s">
        <v>18</v>
      </c>
      <c r="B162" s="21" t="s">
        <v>264</v>
      </c>
      <c r="C162" s="21"/>
      <c r="D162" s="21"/>
      <c r="E162" s="21"/>
      <c r="F162" s="21" t="s">
        <v>35</v>
      </c>
      <c r="G162" s="21" t="s">
        <v>266</v>
      </c>
      <c r="H162" s="49"/>
      <c r="I162" s="21"/>
      <c r="J162" s="21"/>
      <c r="K162" s="21"/>
      <c r="L162" s="21"/>
      <c r="M162" s="21"/>
      <c r="N162" s="21"/>
      <c r="O162" s="21"/>
      <c r="P162" s="22"/>
    </row>
    <row r="163" spans="1:16" ht="24" customHeight="1" x14ac:dyDescent="0.3">
      <c r="A163" s="26"/>
      <c r="B163" s="2" t="s">
        <v>134</v>
      </c>
      <c r="F163" s="2" t="s">
        <v>35</v>
      </c>
      <c r="G163" s="2" t="s">
        <v>267</v>
      </c>
      <c r="H163" s="29"/>
      <c r="P163" s="27"/>
    </row>
    <row r="164" spans="1:16" ht="24" customHeight="1" x14ac:dyDescent="0.3">
      <c r="A164" s="23"/>
      <c r="B164" s="24" t="s">
        <v>265</v>
      </c>
      <c r="C164" s="24"/>
      <c r="D164" s="24"/>
      <c r="E164" s="24"/>
      <c r="F164" s="24" t="s">
        <v>35</v>
      </c>
      <c r="G164" s="24" t="s">
        <v>263</v>
      </c>
      <c r="H164" s="24"/>
      <c r="I164" s="87"/>
      <c r="J164" s="24"/>
      <c r="K164" s="24"/>
      <c r="L164" s="24"/>
      <c r="M164" s="24"/>
      <c r="N164" s="24"/>
      <c r="O164" s="24"/>
      <c r="P164" s="25"/>
    </row>
    <row r="165" spans="1:16" ht="24" customHeight="1" x14ac:dyDescent="0.3">
      <c r="A165" s="20" t="s">
        <v>89</v>
      </c>
      <c r="B165" s="21" t="s">
        <v>253</v>
      </c>
      <c r="C165" s="21"/>
      <c r="D165" s="21"/>
      <c r="E165" s="21" t="s">
        <v>24</v>
      </c>
      <c r="F165" s="21"/>
      <c r="G165" s="21"/>
      <c r="H165" s="21"/>
      <c r="I165" s="49" t="s">
        <v>35</v>
      </c>
      <c r="J165" s="49">
        <v>0</v>
      </c>
      <c r="K165" s="2" t="s">
        <v>4</v>
      </c>
      <c r="L165" s="21"/>
      <c r="M165" s="21"/>
      <c r="N165" s="21"/>
      <c r="O165" s="21"/>
      <c r="P165" s="22"/>
    </row>
    <row r="166" spans="1:16" ht="24" customHeight="1" x14ac:dyDescent="0.3">
      <c r="A166" s="23"/>
      <c r="B166" s="24"/>
      <c r="C166" s="24"/>
      <c r="D166" s="24"/>
      <c r="E166" s="24" t="s">
        <v>25</v>
      </c>
      <c r="F166" s="24"/>
      <c r="G166" s="24"/>
      <c r="H166" s="24"/>
      <c r="I166" s="87" t="s">
        <v>35</v>
      </c>
      <c r="J166" s="87">
        <v>2</v>
      </c>
      <c r="K166" s="2" t="s">
        <v>4</v>
      </c>
      <c r="L166" s="24"/>
      <c r="M166" s="24"/>
      <c r="N166" s="24"/>
      <c r="O166" s="24"/>
      <c r="P166" s="25"/>
    </row>
    <row r="167" spans="1:16" ht="24" customHeight="1" x14ac:dyDescent="0.3">
      <c r="A167" s="26" t="s">
        <v>254</v>
      </c>
      <c r="B167" s="2" t="s">
        <v>255</v>
      </c>
      <c r="H167" s="171" t="s">
        <v>262</v>
      </c>
      <c r="I167" s="171"/>
      <c r="J167" s="171"/>
      <c r="K167" s="171"/>
      <c r="P167" s="27"/>
    </row>
    <row r="168" spans="1:16" ht="24" customHeight="1" x14ac:dyDescent="0.3">
      <c r="A168" s="26"/>
      <c r="I168" s="29"/>
      <c r="J168" s="2" t="s">
        <v>261</v>
      </c>
      <c r="N168" s="2" t="s">
        <v>263</v>
      </c>
      <c r="P168" s="27"/>
    </row>
    <row r="169" spans="1:16" ht="24" customHeight="1" x14ac:dyDescent="0.3">
      <c r="A169" s="26"/>
      <c r="B169" s="2" t="s">
        <v>256</v>
      </c>
      <c r="F169" s="2" t="s">
        <v>35</v>
      </c>
      <c r="I169" s="29"/>
      <c r="J169" s="2" t="s">
        <v>4</v>
      </c>
      <c r="O169" s="2" t="s">
        <v>4</v>
      </c>
      <c r="P169" s="27"/>
    </row>
    <row r="170" spans="1:16" ht="24" customHeight="1" x14ac:dyDescent="0.3">
      <c r="A170" s="26"/>
      <c r="B170" s="2" t="s">
        <v>257</v>
      </c>
      <c r="F170" s="2" t="s">
        <v>35</v>
      </c>
      <c r="I170" s="29"/>
      <c r="J170" s="2" t="s">
        <v>4</v>
      </c>
      <c r="O170" s="2" t="s">
        <v>4</v>
      </c>
      <c r="P170" s="27"/>
    </row>
    <row r="171" spans="1:16" ht="24" customHeight="1" x14ac:dyDescent="0.3">
      <c r="A171" s="26"/>
      <c r="B171" s="2" t="s">
        <v>258</v>
      </c>
      <c r="F171" s="2" t="s">
        <v>35</v>
      </c>
      <c r="I171" s="29"/>
      <c r="J171" s="2" t="s">
        <v>4</v>
      </c>
      <c r="O171" s="2" t="s">
        <v>4</v>
      </c>
      <c r="P171" s="27"/>
    </row>
    <row r="172" spans="1:16" ht="24" customHeight="1" x14ac:dyDescent="0.3">
      <c r="A172" s="26"/>
      <c r="B172" s="2" t="s">
        <v>259</v>
      </c>
      <c r="F172" s="2" t="s">
        <v>35</v>
      </c>
      <c r="I172" s="29"/>
      <c r="J172" s="2" t="s">
        <v>4</v>
      </c>
      <c r="O172" s="2" t="s">
        <v>4</v>
      </c>
      <c r="P172" s="27"/>
    </row>
    <row r="173" spans="1:16" ht="24" customHeight="1" x14ac:dyDescent="0.3">
      <c r="A173" s="26"/>
      <c r="B173" s="2" t="s">
        <v>260</v>
      </c>
      <c r="I173" s="29"/>
      <c r="P173" s="27"/>
    </row>
    <row r="174" spans="1:16" ht="24" customHeight="1" x14ac:dyDescent="0.3">
      <c r="A174" s="20"/>
      <c r="B174" s="21" t="s">
        <v>26</v>
      </c>
      <c r="C174" s="21"/>
      <c r="D174" s="21"/>
      <c r="E174" s="21"/>
      <c r="F174" s="21"/>
      <c r="G174" s="21"/>
      <c r="H174" s="21"/>
      <c r="I174" s="21"/>
      <c r="J174" s="21"/>
      <c r="K174" s="21"/>
      <c r="L174" s="21"/>
      <c r="M174" s="21"/>
      <c r="N174" s="21"/>
      <c r="O174" s="21"/>
      <c r="P174" s="22"/>
    </row>
    <row r="175" spans="1:16" ht="24" customHeight="1" x14ac:dyDescent="0.3">
      <c r="A175" s="26"/>
      <c r="D175" s="2" t="s">
        <v>27</v>
      </c>
      <c r="H175" s="2" t="s">
        <v>33</v>
      </c>
      <c r="N175" s="2" t="s">
        <v>34</v>
      </c>
      <c r="P175" s="27"/>
    </row>
    <row r="176" spans="1:16" ht="24" customHeight="1" x14ac:dyDescent="0.3">
      <c r="A176" s="26"/>
      <c r="B176" s="2" t="s">
        <v>28</v>
      </c>
      <c r="C176" s="161" t="s">
        <v>96</v>
      </c>
      <c r="D176" s="161"/>
      <c r="E176" s="161"/>
      <c r="G176" s="161" t="s">
        <v>113</v>
      </c>
      <c r="H176" s="161"/>
      <c r="I176" s="161"/>
      <c r="J176" s="161"/>
      <c r="K176" s="161"/>
      <c r="M176" s="162">
        <v>1</v>
      </c>
      <c r="N176" s="162"/>
      <c r="O176" s="162"/>
      <c r="P176" s="163"/>
    </row>
    <row r="177" spans="1:16" ht="24" customHeight="1" x14ac:dyDescent="0.3">
      <c r="A177" s="26"/>
      <c r="B177" s="2" t="s">
        <v>29</v>
      </c>
      <c r="C177" s="161" t="s">
        <v>111</v>
      </c>
      <c r="D177" s="161"/>
      <c r="E177" s="161"/>
      <c r="G177" s="161" t="s">
        <v>113</v>
      </c>
      <c r="H177" s="161"/>
      <c r="I177" s="161"/>
      <c r="J177" s="161"/>
      <c r="K177" s="161"/>
      <c r="M177" s="162">
        <v>1</v>
      </c>
      <c r="N177" s="162"/>
      <c r="O177" s="162"/>
      <c r="P177" s="163"/>
    </row>
    <row r="178" spans="1:16" ht="24" customHeight="1" x14ac:dyDescent="0.3">
      <c r="A178" s="26"/>
      <c r="B178" s="2" t="s">
        <v>30</v>
      </c>
      <c r="C178" s="161" t="s">
        <v>111</v>
      </c>
      <c r="D178" s="161"/>
      <c r="E178" s="161"/>
      <c r="G178" s="161"/>
      <c r="H178" s="161"/>
      <c r="I178" s="161"/>
      <c r="J178" s="161"/>
      <c r="K178" s="161"/>
      <c r="M178" s="162"/>
      <c r="N178" s="162"/>
      <c r="O178" s="162"/>
      <c r="P178" s="163"/>
    </row>
    <row r="179" spans="1:16" ht="24" customHeight="1" x14ac:dyDescent="0.3">
      <c r="A179" s="26"/>
      <c r="B179" s="2" t="s">
        <v>31</v>
      </c>
      <c r="C179" s="161" t="s">
        <v>112</v>
      </c>
      <c r="D179" s="161"/>
      <c r="E179" s="161"/>
      <c r="G179" s="161"/>
      <c r="H179" s="161"/>
      <c r="I179" s="161"/>
      <c r="J179" s="161"/>
      <c r="K179" s="161"/>
      <c r="M179" s="162"/>
      <c r="N179" s="162"/>
      <c r="O179" s="162"/>
      <c r="P179" s="163"/>
    </row>
    <row r="180" spans="1:16" ht="24" customHeight="1" x14ac:dyDescent="0.3">
      <c r="A180" s="23"/>
      <c r="B180" s="24"/>
      <c r="C180" s="164"/>
      <c r="D180" s="164"/>
      <c r="E180" s="164"/>
      <c r="F180" s="24"/>
      <c r="G180" s="24"/>
      <c r="H180" s="165"/>
      <c r="I180" s="165"/>
      <c r="J180" s="165"/>
      <c r="K180" s="165"/>
      <c r="L180" s="24"/>
      <c r="M180" s="24"/>
      <c r="N180" s="165"/>
      <c r="O180" s="165"/>
      <c r="P180" s="166"/>
    </row>
    <row r="183" spans="1:16" ht="33.75" customHeight="1" x14ac:dyDescent="0.3">
      <c r="A183" s="167" t="s">
        <v>251</v>
      </c>
      <c r="B183" s="167"/>
      <c r="C183" s="167"/>
      <c r="D183" s="167"/>
      <c r="E183" s="167"/>
      <c r="F183" s="167"/>
      <c r="G183" s="167"/>
      <c r="H183" s="167"/>
      <c r="I183" s="167"/>
      <c r="J183" s="167"/>
      <c r="K183" s="167"/>
      <c r="L183" s="167"/>
      <c r="M183" s="167"/>
      <c r="N183" s="167"/>
      <c r="O183" s="167"/>
      <c r="P183" s="167"/>
    </row>
    <row r="184" spans="1:16" ht="33.75" customHeight="1" x14ac:dyDescent="0.3">
      <c r="A184" s="168" t="s">
        <v>252</v>
      </c>
      <c r="B184" s="168"/>
      <c r="C184" s="168"/>
      <c r="D184" s="168"/>
      <c r="E184" s="168"/>
      <c r="F184" s="168"/>
      <c r="G184" s="168"/>
      <c r="H184" s="168"/>
      <c r="I184" s="168"/>
      <c r="J184" s="168"/>
      <c r="K184" s="168"/>
      <c r="L184" s="168"/>
      <c r="M184" s="168"/>
      <c r="N184" s="168"/>
      <c r="O184" s="168"/>
      <c r="P184" s="168"/>
    </row>
    <row r="185" spans="1:16" ht="26.25" customHeight="1" x14ac:dyDescent="0.3">
      <c r="A185" s="16" t="s">
        <v>12</v>
      </c>
      <c r="B185" s="17" t="s">
        <v>19</v>
      </c>
      <c r="C185" s="17"/>
      <c r="D185" s="17"/>
      <c r="E185" s="17"/>
      <c r="F185" s="18" t="s">
        <v>35</v>
      </c>
      <c r="G185" s="17" t="s">
        <v>300</v>
      </c>
      <c r="H185" s="17"/>
      <c r="I185" s="17"/>
      <c r="J185" s="17"/>
      <c r="K185" s="17"/>
      <c r="L185" s="17"/>
      <c r="M185" s="17"/>
      <c r="N185" s="17"/>
      <c r="O185" s="17"/>
      <c r="P185" s="19"/>
    </row>
    <row r="186" spans="1:16" ht="72.75" customHeight="1" x14ac:dyDescent="0.3">
      <c r="A186" s="50" t="s">
        <v>13</v>
      </c>
      <c r="B186" s="51" t="s">
        <v>1</v>
      </c>
      <c r="C186" s="51"/>
      <c r="D186" s="51"/>
      <c r="E186" s="51"/>
      <c r="F186" s="52" t="s">
        <v>35</v>
      </c>
      <c r="G186" s="169" t="s">
        <v>304</v>
      </c>
      <c r="H186" s="169"/>
      <c r="I186" s="169"/>
      <c r="J186" s="169"/>
      <c r="K186" s="169"/>
      <c r="L186" s="169"/>
      <c r="M186" s="169"/>
      <c r="N186" s="169"/>
      <c r="O186" s="169"/>
      <c r="P186" s="170"/>
    </row>
    <row r="187" spans="1:16" ht="26.25" customHeight="1" x14ac:dyDescent="0.3">
      <c r="A187" s="16" t="s">
        <v>11</v>
      </c>
      <c r="B187" s="17" t="s">
        <v>20</v>
      </c>
      <c r="C187" s="17"/>
      <c r="D187" s="17"/>
      <c r="E187" s="17"/>
      <c r="F187" s="18" t="s">
        <v>35</v>
      </c>
      <c r="G187" s="17" t="s">
        <v>301</v>
      </c>
      <c r="H187" s="17"/>
      <c r="I187" s="17"/>
      <c r="J187" s="17"/>
      <c r="K187" s="17"/>
      <c r="L187" s="17"/>
      <c r="M187" s="17"/>
      <c r="N187" s="17"/>
      <c r="O187" s="17"/>
      <c r="P187" s="19"/>
    </row>
    <row r="188" spans="1:16" ht="26.25" customHeight="1" x14ac:dyDescent="0.3">
      <c r="A188" s="16" t="s">
        <v>14</v>
      </c>
      <c r="B188" s="17" t="s">
        <v>21</v>
      </c>
      <c r="C188" s="17"/>
      <c r="D188" s="17"/>
      <c r="E188" s="17"/>
      <c r="F188" s="18" t="s">
        <v>35</v>
      </c>
      <c r="G188" s="17" t="s">
        <v>250</v>
      </c>
      <c r="H188" s="17"/>
      <c r="I188" s="17"/>
      <c r="J188" s="17"/>
      <c r="K188" s="17"/>
      <c r="L188" s="17"/>
      <c r="M188" s="17"/>
      <c r="N188" s="17"/>
      <c r="O188" s="17"/>
      <c r="P188" s="19"/>
    </row>
    <row r="189" spans="1:16" ht="26.25" customHeight="1" x14ac:dyDescent="0.3">
      <c r="A189" s="16" t="s">
        <v>15</v>
      </c>
      <c r="B189" s="17" t="s">
        <v>5</v>
      </c>
      <c r="C189" s="17"/>
      <c r="D189" s="17"/>
      <c r="E189" s="17"/>
      <c r="F189" s="18" t="s">
        <v>35</v>
      </c>
      <c r="G189" s="21" t="s">
        <v>325</v>
      </c>
      <c r="H189" s="17"/>
      <c r="I189" s="17"/>
      <c r="J189" s="17"/>
      <c r="K189" s="17"/>
      <c r="L189" s="17"/>
      <c r="M189" s="17"/>
      <c r="N189" s="17"/>
      <c r="O189" s="17"/>
      <c r="P189" s="19"/>
    </row>
    <row r="190" spans="1:16" ht="26.25" customHeight="1" x14ac:dyDescent="0.3">
      <c r="A190" s="16" t="s">
        <v>16</v>
      </c>
      <c r="B190" s="17" t="s">
        <v>22</v>
      </c>
      <c r="C190" s="17"/>
      <c r="D190" s="17"/>
      <c r="E190" s="17"/>
      <c r="F190" s="18" t="s">
        <v>35</v>
      </c>
      <c r="G190" s="91" t="s">
        <v>326</v>
      </c>
      <c r="H190" s="17"/>
      <c r="I190" s="17"/>
      <c r="J190" s="17"/>
      <c r="K190" s="17"/>
      <c r="L190" s="17"/>
      <c r="M190" s="17"/>
      <c r="N190" s="17"/>
      <c r="O190" s="17"/>
      <c r="P190" s="19"/>
    </row>
    <row r="191" spans="1:16" ht="26.25" customHeight="1" x14ac:dyDescent="0.3">
      <c r="A191" s="16" t="s">
        <v>17</v>
      </c>
      <c r="B191" s="17" t="s">
        <v>23</v>
      </c>
      <c r="C191" s="17"/>
      <c r="D191" s="17"/>
      <c r="E191" s="17"/>
      <c r="F191" s="18" t="s">
        <v>35</v>
      </c>
      <c r="G191" s="159" t="s">
        <v>322</v>
      </c>
      <c r="H191" s="159"/>
      <c r="I191" s="159"/>
      <c r="J191" s="159"/>
      <c r="K191" s="159"/>
      <c r="L191" s="159"/>
      <c r="M191" s="159"/>
      <c r="N191" s="159"/>
      <c r="O191" s="159"/>
      <c r="P191" s="160"/>
    </row>
    <row r="192" spans="1:16" ht="26.25" customHeight="1" x14ac:dyDescent="0.3">
      <c r="A192" s="20" t="s">
        <v>18</v>
      </c>
      <c r="B192" s="21" t="s">
        <v>264</v>
      </c>
      <c r="C192" s="21"/>
      <c r="D192" s="21"/>
      <c r="E192" s="21"/>
      <c r="F192" s="21" t="s">
        <v>35</v>
      </c>
      <c r="G192" s="21" t="s">
        <v>266</v>
      </c>
      <c r="H192" s="49"/>
      <c r="I192" s="21"/>
      <c r="J192" s="21"/>
      <c r="K192" s="21"/>
      <c r="L192" s="21"/>
      <c r="M192" s="21"/>
      <c r="N192" s="21"/>
      <c r="O192" s="21"/>
      <c r="P192" s="22"/>
    </row>
    <row r="193" spans="1:16" ht="26.25" customHeight="1" x14ac:dyDescent="0.3">
      <c r="A193" s="26"/>
      <c r="B193" s="2" t="s">
        <v>134</v>
      </c>
      <c r="F193" s="2" t="s">
        <v>35</v>
      </c>
      <c r="G193" s="2" t="s">
        <v>267</v>
      </c>
      <c r="H193" s="29"/>
      <c r="P193" s="27"/>
    </row>
    <row r="194" spans="1:16" ht="26.25" customHeight="1" x14ac:dyDescent="0.3">
      <c r="A194" s="23"/>
      <c r="B194" s="24" t="s">
        <v>265</v>
      </c>
      <c r="C194" s="24"/>
      <c r="D194" s="24"/>
      <c r="E194" s="24"/>
      <c r="F194" s="24" t="s">
        <v>35</v>
      </c>
      <c r="G194" s="24" t="s">
        <v>263</v>
      </c>
      <c r="H194" s="24"/>
      <c r="I194" s="87"/>
      <c r="J194" s="24"/>
      <c r="K194" s="24"/>
      <c r="L194" s="24"/>
      <c r="M194" s="24"/>
      <c r="N194" s="24"/>
      <c r="O194" s="24"/>
      <c r="P194" s="25"/>
    </row>
    <row r="195" spans="1:16" ht="26.25" customHeight="1" x14ac:dyDescent="0.3">
      <c r="A195" s="20" t="s">
        <v>89</v>
      </c>
      <c r="B195" s="21" t="s">
        <v>253</v>
      </c>
      <c r="C195" s="21"/>
      <c r="D195" s="21"/>
      <c r="E195" s="21" t="s">
        <v>24</v>
      </c>
      <c r="F195" s="21"/>
      <c r="G195" s="21"/>
      <c r="H195" s="21"/>
      <c r="I195" s="49" t="s">
        <v>35</v>
      </c>
      <c r="J195" s="49">
        <v>0</v>
      </c>
      <c r="K195" s="2" t="s">
        <v>4</v>
      </c>
      <c r="L195" s="21"/>
      <c r="M195" s="21"/>
      <c r="N195" s="21"/>
      <c r="O195" s="21"/>
      <c r="P195" s="22"/>
    </row>
    <row r="196" spans="1:16" ht="26.25" customHeight="1" x14ac:dyDescent="0.3">
      <c r="A196" s="23"/>
      <c r="B196" s="24"/>
      <c r="C196" s="24"/>
      <c r="D196" s="24"/>
      <c r="E196" s="24" t="s">
        <v>25</v>
      </c>
      <c r="F196" s="24"/>
      <c r="G196" s="24"/>
      <c r="H196" s="24"/>
      <c r="I196" s="87" t="s">
        <v>35</v>
      </c>
      <c r="J196" s="87">
        <v>2</v>
      </c>
      <c r="K196" s="2" t="s">
        <v>4</v>
      </c>
      <c r="L196" s="24"/>
      <c r="M196" s="24"/>
      <c r="N196" s="24"/>
      <c r="O196" s="24"/>
      <c r="P196" s="25"/>
    </row>
    <row r="197" spans="1:16" ht="26.25" customHeight="1" x14ac:dyDescent="0.3">
      <c r="A197" s="26" t="s">
        <v>254</v>
      </c>
      <c r="B197" s="2" t="s">
        <v>255</v>
      </c>
      <c r="H197" s="171" t="s">
        <v>262</v>
      </c>
      <c r="I197" s="171"/>
      <c r="J197" s="171"/>
      <c r="K197" s="171"/>
      <c r="P197" s="27"/>
    </row>
    <row r="198" spans="1:16" ht="26.25" customHeight="1" x14ac:dyDescent="0.3">
      <c r="A198" s="26"/>
      <c r="I198" s="29"/>
      <c r="J198" s="2" t="s">
        <v>261</v>
      </c>
      <c r="N198" s="2" t="s">
        <v>263</v>
      </c>
      <c r="P198" s="27"/>
    </row>
    <row r="199" spans="1:16" ht="26.25" customHeight="1" x14ac:dyDescent="0.3">
      <c r="A199" s="26"/>
      <c r="B199" s="2" t="s">
        <v>256</v>
      </c>
      <c r="F199" s="2" t="s">
        <v>35</v>
      </c>
      <c r="I199" s="29"/>
      <c r="J199" s="2" t="s">
        <v>4</v>
      </c>
      <c r="O199" s="2" t="s">
        <v>4</v>
      </c>
      <c r="P199" s="27"/>
    </row>
    <row r="200" spans="1:16" ht="26.25" customHeight="1" x14ac:dyDescent="0.3">
      <c r="A200" s="26"/>
      <c r="B200" s="2" t="s">
        <v>257</v>
      </c>
      <c r="F200" s="2" t="s">
        <v>35</v>
      </c>
      <c r="I200" s="29"/>
      <c r="J200" s="2" t="s">
        <v>4</v>
      </c>
      <c r="O200" s="2" t="s">
        <v>4</v>
      </c>
      <c r="P200" s="27"/>
    </row>
    <row r="201" spans="1:16" ht="26.25" customHeight="1" x14ac:dyDescent="0.3">
      <c r="A201" s="26"/>
      <c r="B201" s="2" t="s">
        <v>258</v>
      </c>
      <c r="F201" s="2" t="s">
        <v>35</v>
      </c>
      <c r="I201" s="29"/>
      <c r="J201" s="2" t="s">
        <v>4</v>
      </c>
      <c r="O201" s="2" t="s">
        <v>4</v>
      </c>
      <c r="P201" s="27"/>
    </row>
    <row r="202" spans="1:16" ht="26.25" customHeight="1" x14ac:dyDescent="0.3">
      <c r="A202" s="26"/>
      <c r="B202" s="2" t="s">
        <v>259</v>
      </c>
      <c r="F202" s="2" t="s">
        <v>35</v>
      </c>
      <c r="I202" s="29"/>
      <c r="J202" s="2" t="s">
        <v>4</v>
      </c>
      <c r="O202" s="2" t="s">
        <v>4</v>
      </c>
      <c r="P202" s="27"/>
    </row>
    <row r="203" spans="1:16" ht="26.25" customHeight="1" x14ac:dyDescent="0.3">
      <c r="A203" s="26"/>
      <c r="B203" s="2" t="s">
        <v>260</v>
      </c>
      <c r="I203" s="29"/>
      <c r="P203" s="27"/>
    </row>
    <row r="204" spans="1:16" ht="26.25" customHeight="1" x14ac:dyDescent="0.3">
      <c r="A204" s="20"/>
      <c r="B204" s="21" t="s">
        <v>26</v>
      </c>
      <c r="C204" s="21"/>
      <c r="D204" s="21"/>
      <c r="E204" s="21"/>
      <c r="F204" s="21"/>
      <c r="G204" s="21"/>
      <c r="H204" s="21"/>
      <c r="I204" s="21"/>
      <c r="J204" s="21"/>
      <c r="K204" s="21"/>
      <c r="L204" s="21"/>
      <c r="M204" s="21"/>
      <c r="N204" s="21"/>
      <c r="O204" s="21"/>
      <c r="P204" s="22"/>
    </row>
    <row r="205" spans="1:16" ht="26.25" customHeight="1" x14ac:dyDescent="0.3">
      <c r="A205" s="26"/>
      <c r="D205" s="2" t="s">
        <v>27</v>
      </c>
      <c r="H205" s="2" t="s">
        <v>33</v>
      </c>
      <c r="N205" s="2" t="s">
        <v>34</v>
      </c>
      <c r="P205" s="27"/>
    </row>
    <row r="206" spans="1:16" ht="26.25" customHeight="1" x14ac:dyDescent="0.3">
      <c r="A206" s="26"/>
      <c r="B206" s="2" t="s">
        <v>28</v>
      </c>
      <c r="C206" s="161" t="s">
        <v>96</v>
      </c>
      <c r="D206" s="161"/>
      <c r="E206" s="161"/>
      <c r="G206" s="161" t="s">
        <v>113</v>
      </c>
      <c r="H206" s="161"/>
      <c r="I206" s="161"/>
      <c r="J206" s="161"/>
      <c r="K206" s="161"/>
      <c r="M206" s="162">
        <v>1</v>
      </c>
      <c r="N206" s="162"/>
      <c r="O206" s="162"/>
      <c r="P206" s="163"/>
    </row>
    <row r="207" spans="1:16" ht="26.25" customHeight="1" x14ac:dyDescent="0.3">
      <c r="A207" s="26"/>
      <c r="B207" s="2" t="s">
        <v>29</v>
      </c>
      <c r="C207" s="161" t="s">
        <v>111</v>
      </c>
      <c r="D207" s="161"/>
      <c r="E207" s="161"/>
      <c r="G207" s="161" t="s">
        <v>113</v>
      </c>
      <c r="H207" s="161"/>
      <c r="I207" s="161"/>
      <c r="J207" s="161"/>
      <c r="K207" s="161"/>
      <c r="M207" s="162">
        <v>1</v>
      </c>
      <c r="N207" s="162"/>
      <c r="O207" s="162"/>
      <c r="P207" s="163"/>
    </row>
    <row r="208" spans="1:16" ht="26.25" customHeight="1" x14ac:dyDescent="0.3">
      <c r="A208" s="26"/>
      <c r="B208" s="2" t="s">
        <v>30</v>
      </c>
      <c r="C208" s="161" t="s">
        <v>111</v>
      </c>
      <c r="D208" s="161"/>
      <c r="E208" s="161"/>
      <c r="G208" s="161"/>
      <c r="H208" s="161"/>
      <c r="I208" s="161"/>
      <c r="J208" s="161"/>
      <c r="K208" s="161"/>
      <c r="M208" s="162"/>
      <c r="N208" s="162"/>
      <c r="O208" s="162"/>
      <c r="P208" s="163"/>
    </row>
    <row r="209" spans="1:16" ht="26.25" customHeight="1" x14ac:dyDescent="0.3">
      <c r="A209" s="26"/>
      <c r="B209" s="2" t="s">
        <v>31</v>
      </c>
      <c r="C209" s="161" t="s">
        <v>112</v>
      </c>
      <c r="D209" s="161"/>
      <c r="E209" s="161"/>
      <c r="G209" s="161"/>
      <c r="H209" s="161"/>
      <c r="I209" s="161"/>
      <c r="J209" s="161"/>
      <c r="K209" s="161"/>
      <c r="M209" s="162"/>
      <c r="N209" s="162"/>
      <c r="O209" s="162"/>
      <c r="P209" s="163"/>
    </row>
    <row r="210" spans="1:16" ht="26.25" customHeight="1" x14ac:dyDescent="0.3">
      <c r="A210" s="23"/>
      <c r="B210" s="24"/>
      <c r="C210" s="164"/>
      <c r="D210" s="164"/>
      <c r="E210" s="164"/>
      <c r="F210" s="24"/>
      <c r="G210" s="24"/>
      <c r="H210" s="165"/>
      <c r="I210" s="165"/>
      <c r="J210" s="165"/>
      <c r="K210" s="165"/>
      <c r="L210" s="24"/>
      <c r="M210" s="24"/>
      <c r="N210" s="165"/>
      <c r="O210" s="165"/>
      <c r="P210" s="166"/>
    </row>
  </sheetData>
  <mergeCells count="140">
    <mergeCell ref="C209:E209"/>
    <mergeCell ref="G209:K209"/>
    <mergeCell ref="M209:P209"/>
    <mergeCell ref="C210:E210"/>
    <mergeCell ref="H210:K210"/>
    <mergeCell ref="N210:P210"/>
    <mergeCell ref="C207:E207"/>
    <mergeCell ref="G207:K207"/>
    <mergeCell ref="M207:P207"/>
    <mergeCell ref="C208:E208"/>
    <mergeCell ref="G208:K208"/>
    <mergeCell ref="M208:P208"/>
    <mergeCell ref="A183:P183"/>
    <mergeCell ref="A184:P184"/>
    <mergeCell ref="G186:P186"/>
    <mergeCell ref="H197:K197"/>
    <mergeCell ref="C206:E206"/>
    <mergeCell ref="G206:K206"/>
    <mergeCell ref="M206:P206"/>
    <mergeCell ref="C179:E179"/>
    <mergeCell ref="G179:K179"/>
    <mergeCell ref="M179:P179"/>
    <mergeCell ref="C180:E180"/>
    <mergeCell ref="H180:K180"/>
    <mergeCell ref="N180:P180"/>
    <mergeCell ref="G191:P191"/>
    <mergeCell ref="C177:E177"/>
    <mergeCell ref="G177:K177"/>
    <mergeCell ref="M177:P177"/>
    <mergeCell ref="C178:E178"/>
    <mergeCell ref="G178:K178"/>
    <mergeCell ref="M178:P178"/>
    <mergeCell ref="A153:P153"/>
    <mergeCell ref="A154:P154"/>
    <mergeCell ref="G156:P156"/>
    <mergeCell ref="H167:K167"/>
    <mergeCell ref="C176:E176"/>
    <mergeCell ref="G176:K176"/>
    <mergeCell ref="M176:P176"/>
    <mergeCell ref="C150:E150"/>
    <mergeCell ref="G150:K150"/>
    <mergeCell ref="M150:P150"/>
    <mergeCell ref="C151:E151"/>
    <mergeCell ref="H151:K151"/>
    <mergeCell ref="N151:P151"/>
    <mergeCell ref="C148:E148"/>
    <mergeCell ref="G148:K148"/>
    <mergeCell ref="M148:P148"/>
    <mergeCell ref="C149:E149"/>
    <mergeCell ref="G149:K149"/>
    <mergeCell ref="M149:P149"/>
    <mergeCell ref="A124:P124"/>
    <mergeCell ref="A125:P125"/>
    <mergeCell ref="G127:P127"/>
    <mergeCell ref="H138:K138"/>
    <mergeCell ref="C147:E147"/>
    <mergeCell ref="G147:K147"/>
    <mergeCell ref="M147:P147"/>
    <mergeCell ref="C26:E26"/>
    <mergeCell ref="C27:E27"/>
    <mergeCell ref="C28:E28"/>
    <mergeCell ref="G27:K27"/>
    <mergeCell ref="M27:P27"/>
    <mergeCell ref="N28:P28"/>
    <mergeCell ref="H28:K28"/>
    <mergeCell ref="A32:P32"/>
    <mergeCell ref="A33:P33"/>
    <mergeCell ref="G35:P35"/>
    <mergeCell ref="H46:K46"/>
    <mergeCell ref="C55:E55"/>
    <mergeCell ref="G55:K55"/>
    <mergeCell ref="M55:P55"/>
    <mergeCell ref="C56:E56"/>
    <mergeCell ref="G56:K56"/>
    <mergeCell ref="M56:P56"/>
    <mergeCell ref="A1:P1"/>
    <mergeCell ref="A2:P2"/>
    <mergeCell ref="H15:K15"/>
    <mergeCell ref="G4:P4"/>
    <mergeCell ref="G24:K24"/>
    <mergeCell ref="M24:P24"/>
    <mergeCell ref="G25:K25"/>
    <mergeCell ref="G26:K26"/>
    <mergeCell ref="M25:P25"/>
    <mergeCell ref="M26:P26"/>
    <mergeCell ref="C24:E24"/>
    <mergeCell ref="C25:E25"/>
    <mergeCell ref="G9:P9"/>
    <mergeCell ref="C57:E57"/>
    <mergeCell ref="G57:K57"/>
    <mergeCell ref="M57:P57"/>
    <mergeCell ref="C58:E58"/>
    <mergeCell ref="G58:K58"/>
    <mergeCell ref="M58:P58"/>
    <mergeCell ref="C59:E59"/>
    <mergeCell ref="H59:K59"/>
    <mergeCell ref="N59:P59"/>
    <mergeCell ref="A63:P63"/>
    <mergeCell ref="A64:P64"/>
    <mergeCell ref="G66:P66"/>
    <mergeCell ref="H77:K77"/>
    <mergeCell ref="C86:E86"/>
    <mergeCell ref="G86:K86"/>
    <mergeCell ref="M86:P86"/>
    <mergeCell ref="C87:E87"/>
    <mergeCell ref="G87:K87"/>
    <mergeCell ref="M87:P87"/>
    <mergeCell ref="C88:E88"/>
    <mergeCell ref="G88:K88"/>
    <mergeCell ref="M88:P88"/>
    <mergeCell ref="C89:E89"/>
    <mergeCell ref="G89:K89"/>
    <mergeCell ref="M89:P89"/>
    <mergeCell ref="C90:E90"/>
    <mergeCell ref="H90:K90"/>
    <mergeCell ref="N90:P90"/>
    <mergeCell ref="G40:P40"/>
    <mergeCell ref="G71:P71"/>
    <mergeCell ref="G103:P103"/>
    <mergeCell ref="G132:P132"/>
    <mergeCell ref="G161:P161"/>
    <mergeCell ref="C120:E120"/>
    <mergeCell ref="G120:K120"/>
    <mergeCell ref="M120:P120"/>
    <mergeCell ref="C121:E121"/>
    <mergeCell ref="G121:K121"/>
    <mergeCell ref="M121:P121"/>
    <mergeCell ref="C122:E122"/>
    <mergeCell ref="H122:K122"/>
    <mergeCell ref="N122:P122"/>
    <mergeCell ref="A95:P95"/>
    <mergeCell ref="A96:P96"/>
    <mergeCell ref="G98:P98"/>
    <mergeCell ref="H109:K109"/>
    <mergeCell ref="C118:E118"/>
    <mergeCell ref="G118:K118"/>
    <mergeCell ref="M118:P118"/>
    <mergeCell ref="C119:E119"/>
    <mergeCell ref="G119:K119"/>
    <mergeCell ref="M119:P119"/>
  </mergeCells>
  <pageMargins left="0.7" right="0.7" top="0.75" bottom="0.75" header="0.3" footer="0.3"/>
  <pageSetup paperSize="9" scale="48" orientation="portrait" horizontalDpi="4294967293" verticalDpi="4294967293" r:id="rId1"/>
  <rowBreaks count="4" manualBreakCount="4">
    <brk id="30" max="16383" man="1"/>
    <brk id="60" max="16383" man="1"/>
    <brk id="92" max="16383" man="1"/>
    <brk id="151"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O36"/>
  <sheetViews>
    <sheetView tabSelected="1" view="pageBreakPreview" topLeftCell="A19" zoomScale="70" zoomScaleNormal="55" zoomScaleSheetLayoutView="70" workbookViewId="0">
      <selection activeCell="P30" sqref="P30"/>
    </sheetView>
  </sheetViews>
  <sheetFormatPr defaultRowHeight="15.6" x14ac:dyDescent="0.3"/>
  <cols>
    <col min="1" max="1" width="4" style="15" customWidth="1"/>
    <col min="2" max="2" width="34.44140625" style="15" customWidth="1"/>
    <col min="3" max="6" width="12" style="15" hidden="1" customWidth="1"/>
    <col min="7" max="7" width="10.44140625" style="15" customWidth="1"/>
    <col min="8" max="8" width="11.109375" style="15" customWidth="1"/>
    <col min="9" max="9" width="10.6640625" style="15" customWidth="1"/>
    <col min="10" max="10" width="11.109375" style="15" customWidth="1"/>
    <col min="11" max="11" width="29.88671875" style="15" customWidth="1"/>
    <col min="12" max="12" width="3" style="15" customWidth="1"/>
    <col min="13" max="15" width="9.109375" style="15"/>
  </cols>
  <sheetData>
    <row r="1" spans="1:11" x14ac:dyDescent="0.3">
      <c r="A1" s="1" t="s">
        <v>11</v>
      </c>
      <c r="B1" s="35" t="s">
        <v>42</v>
      </c>
      <c r="C1" s="35"/>
      <c r="D1" s="35"/>
      <c r="E1" s="35"/>
      <c r="F1" s="35"/>
    </row>
    <row r="2" spans="1:11" ht="16.2" thickBot="1" x14ac:dyDescent="0.35"/>
    <row r="3" spans="1:11" ht="15.75" customHeight="1" thickTop="1" x14ac:dyDescent="0.3">
      <c r="A3" s="151" t="s">
        <v>0</v>
      </c>
      <c r="B3" s="153" t="s">
        <v>36</v>
      </c>
      <c r="C3" s="179" t="s">
        <v>360</v>
      </c>
      <c r="D3" s="180"/>
      <c r="E3" s="180"/>
      <c r="F3" s="181"/>
      <c r="G3" s="176" t="s">
        <v>360</v>
      </c>
      <c r="H3" s="177"/>
      <c r="I3" s="177"/>
      <c r="J3" s="178"/>
      <c r="K3" s="174" t="s">
        <v>41</v>
      </c>
    </row>
    <row r="4" spans="1:11" ht="15" customHeight="1" x14ac:dyDescent="0.3">
      <c r="A4" s="152"/>
      <c r="B4" s="154"/>
      <c r="C4" s="3" t="s">
        <v>37</v>
      </c>
      <c r="D4" s="3" t="s">
        <v>38</v>
      </c>
      <c r="E4" s="3" t="s">
        <v>39</v>
      </c>
      <c r="F4" s="3" t="s">
        <v>40</v>
      </c>
      <c r="G4" s="3" t="s">
        <v>37</v>
      </c>
      <c r="H4" s="3" t="s">
        <v>38</v>
      </c>
      <c r="I4" s="3" t="s">
        <v>39</v>
      </c>
      <c r="J4" s="3" t="s">
        <v>40</v>
      </c>
      <c r="K4" s="175"/>
    </row>
    <row r="5" spans="1:11" x14ac:dyDescent="0.3">
      <c r="A5" s="31">
        <v>1</v>
      </c>
      <c r="B5" s="32">
        <v>2</v>
      </c>
      <c r="C5" s="32">
        <v>3</v>
      </c>
      <c r="D5" s="32">
        <v>4</v>
      </c>
      <c r="E5" s="32">
        <v>5</v>
      </c>
      <c r="F5" s="32">
        <v>6</v>
      </c>
      <c r="G5" s="32">
        <v>3</v>
      </c>
      <c r="H5" s="32">
        <v>4</v>
      </c>
      <c r="I5" s="32">
        <v>5</v>
      </c>
      <c r="J5" s="32">
        <v>6</v>
      </c>
      <c r="K5" s="33">
        <v>7</v>
      </c>
    </row>
    <row r="6" spans="1:11" x14ac:dyDescent="0.3">
      <c r="A6" s="34"/>
      <c r="B6" s="5"/>
      <c r="C6" s="5"/>
      <c r="D6" s="5"/>
      <c r="E6" s="5"/>
      <c r="F6" s="5"/>
      <c r="G6" s="5"/>
      <c r="H6" s="5"/>
      <c r="I6" s="5"/>
      <c r="J6" s="5"/>
      <c r="K6" s="9"/>
    </row>
    <row r="7" spans="1:11" x14ac:dyDescent="0.3">
      <c r="A7" s="10">
        <v>1</v>
      </c>
      <c r="B7" s="158" t="s">
        <v>114</v>
      </c>
      <c r="C7" s="81"/>
      <c r="D7" s="6"/>
      <c r="E7" s="6"/>
      <c r="F7" s="6"/>
      <c r="G7" s="81"/>
      <c r="H7" s="81"/>
      <c r="I7" s="81"/>
      <c r="J7" s="6"/>
      <c r="K7" s="11"/>
    </row>
    <row r="8" spans="1:11" x14ac:dyDescent="0.3">
      <c r="A8" s="10"/>
      <c r="B8" s="158"/>
      <c r="C8" s="81"/>
      <c r="D8" s="6"/>
      <c r="E8" s="6"/>
      <c r="F8" s="6"/>
      <c r="G8" s="81"/>
      <c r="H8" s="81"/>
      <c r="I8" s="81"/>
      <c r="J8" s="6"/>
      <c r="K8" s="11"/>
    </row>
    <row r="9" spans="1:11" x14ac:dyDescent="0.3">
      <c r="A9" s="10"/>
      <c r="B9" s="158"/>
      <c r="C9" s="81"/>
      <c r="D9" s="6"/>
      <c r="E9" s="6"/>
      <c r="F9" s="6"/>
      <c r="G9" s="81"/>
      <c r="H9" s="81"/>
      <c r="I9" s="81"/>
      <c r="J9" s="6"/>
      <c r="K9" s="11"/>
    </row>
    <row r="10" spans="1:11" x14ac:dyDescent="0.3">
      <c r="A10" s="10">
        <v>2</v>
      </c>
      <c r="B10" s="158" t="s">
        <v>115</v>
      </c>
      <c r="C10" s="81"/>
      <c r="D10" s="6"/>
      <c r="E10" s="6"/>
      <c r="F10" s="6"/>
      <c r="G10" s="81"/>
      <c r="H10" s="81"/>
      <c r="I10" s="81"/>
      <c r="J10" s="6"/>
      <c r="K10" s="11"/>
    </row>
    <row r="11" spans="1:11" x14ac:dyDescent="0.3">
      <c r="A11" s="10"/>
      <c r="B11" s="158"/>
      <c r="C11" s="81"/>
      <c r="D11" s="6"/>
      <c r="E11" s="6"/>
      <c r="F11" s="6"/>
      <c r="G11" s="81"/>
      <c r="H11" s="81"/>
      <c r="I11" s="81"/>
      <c r="J11" s="6"/>
      <c r="K11" s="11"/>
    </row>
    <row r="12" spans="1:11" x14ac:dyDescent="0.3">
      <c r="A12" s="10">
        <v>3</v>
      </c>
      <c r="B12" s="6" t="s">
        <v>116</v>
      </c>
      <c r="C12" s="81"/>
      <c r="D12" s="81"/>
      <c r="E12" s="6"/>
      <c r="F12" s="6"/>
      <c r="G12" s="81"/>
      <c r="H12" s="81"/>
      <c r="I12" s="81"/>
      <c r="J12" s="6"/>
      <c r="K12" s="11"/>
    </row>
    <row r="13" spans="1:11" x14ac:dyDescent="0.3">
      <c r="A13" s="10"/>
      <c r="B13" s="47" t="s">
        <v>117</v>
      </c>
      <c r="C13" s="81"/>
      <c r="D13" s="81"/>
      <c r="E13" s="6"/>
      <c r="F13" s="6"/>
      <c r="G13" s="81"/>
      <c r="H13" s="81"/>
      <c r="I13" s="81"/>
      <c r="J13" s="6"/>
      <c r="K13" s="11"/>
    </row>
    <row r="14" spans="1:11" x14ac:dyDescent="0.3">
      <c r="A14" s="10"/>
      <c r="B14" s="47" t="s">
        <v>118</v>
      </c>
      <c r="C14" s="81"/>
      <c r="D14" s="81"/>
      <c r="E14" s="143"/>
      <c r="F14" s="143"/>
      <c r="G14" s="143"/>
      <c r="H14" s="143"/>
      <c r="I14" s="143"/>
      <c r="J14" s="6"/>
      <c r="K14" s="11"/>
    </row>
    <row r="15" spans="1:11" x14ac:dyDescent="0.3">
      <c r="A15" s="10">
        <v>4</v>
      </c>
      <c r="B15" s="47" t="s">
        <v>119</v>
      </c>
      <c r="C15" s="6"/>
      <c r="D15" s="81"/>
      <c r="E15" s="143"/>
      <c r="F15" s="143"/>
      <c r="G15" s="143"/>
      <c r="H15" s="143"/>
      <c r="I15" s="143"/>
      <c r="J15" s="6"/>
      <c r="K15" s="11"/>
    </row>
    <row r="16" spans="1:11" ht="19.5" customHeight="1" x14ac:dyDescent="0.3">
      <c r="A16" s="56">
        <v>5</v>
      </c>
      <c r="B16" s="55" t="s">
        <v>120</v>
      </c>
      <c r="C16" s="6"/>
      <c r="D16" s="81"/>
      <c r="E16" s="143"/>
      <c r="F16" s="143"/>
      <c r="G16" s="143"/>
      <c r="H16" s="143"/>
      <c r="I16" s="143"/>
      <c r="J16" s="6"/>
      <c r="K16" s="11"/>
    </row>
    <row r="17" spans="1:11" ht="31.2" x14ac:dyDescent="0.3">
      <c r="A17" s="56">
        <v>6</v>
      </c>
      <c r="B17" s="54" t="s">
        <v>121</v>
      </c>
      <c r="C17" s="6"/>
      <c r="D17" s="81"/>
      <c r="E17" s="143"/>
      <c r="F17" s="143"/>
      <c r="G17" s="143"/>
      <c r="H17" s="143"/>
      <c r="I17" s="143"/>
      <c r="J17" s="6"/>
      <c r="K17" s="11"/>
    </row>
    <row r="18" spans="1:11" ht="33" customHeight="1" x14ac:dyDescent="0.3">
      <c r="A18" s="56">
        <v>7</v>
      </c>
      <c r="B18" s="54" t="s">
        <v>122</v>
      </c>
      <c r="C18" s="6"/>
      <c r="D18" s="81"/>
      <c r="E18" s="143"/>
      <c r="F18" s="143"/>
      <c r="G18" s="143"/>
      <c r="H18" s="143"/>
      <c r="I18" s="143"/>
      <c r="J18" s="6"/>
      <c r="K18" s="11"/>
    </row>
    <row r="19" spans="1:11" ht="31.2" x14ac:dyDescent="0.3">
      <c r="A19" s="56">
        <v>8</v>
      </c>
      <c r="B19" s="54" t="s">
        <v>123</v>
      </c>
      <c r="C19" s="6"/>
      <c r="D19" s="81"/>
      <c r="E19" s="143"/>
      <c r="F19" s="143"/>
      <c r="G19" s="143"/>
      <c r="H19" s="143"/>
      <c r="I19" s="143"/>
      <c r="J19" s="6"/>
      <c r="K19" s="11"/>
    </row>
    <row r="20" spans="1:11" ht="46.8" x14ac:dyDescent="0.3">
      <c r="A20" s="56">
        <v>9</v>
      </c>
      <c r="B20" s="55" t="s">
        <v>124</v>
      </c>
      <c r="C20" s="6"/>
      <c r="D20" s="81"/>
      <c r="E20" s="143"/>
      <c r="F20" s="143"/>
      <c r="G20" s="143"/>
      <c r="H20" s="143"/>
      <c r="I20" s="143"/>
      <c r="J20" s="6"/>
      <c r="K20" s="11"/>
    </row>
    <row r="21" spans="1:11" x14ac:dyDescent="0.3">
      <c r="A21" s="56">
        <v>10</v>
      </c>
      <c r="B21" s="47" t="s">
        <v>125</v>
      </c>
      <c r="C21" s="6"/>
      <c r="D21" s="6"/>
      <c r="E21" s="6"/>
      <c r="F21" s="6"/>
      <c r="G21" s="6"/>
      <c r="H21" s="6"/>
      <c r="I21" s="81"/>
      <c r="J21" s="81"/>
      <c r="K21" s="11"/>
    </row>
    <row r="22" spans="1:11" ht="31.2" x14ac:dyDescent="0.3">
      <c r="A22" s="56">
        <v>11</v>
      </c>
      <c r="B22" s="53" t="s">
        <v>126</v>
      </c>
      <c r="C22" s="6"/>
      <c r="D22" s="6"/>
      <c r="E22" s="6"/>
      <c r="F22" s="6"/>
      <c r="G22" s="6"/>
      <c r="H22" s="6"/>
      <c r="I22" s="81"/>
      <c r="J22" s="81"/>
      <c r="K22" s="11"/>
    </row>
    <row r="23" spans="1:11" x14ac:dyDescent="0.3">
      <c r="A23" s="56">
        <v>12</v>
      </c>
      <c r="B23" s="47" t="s">
        <v>127</v>
      </c>
      <c r="C23" s="6"/>
      <c r="D23" s="6"/>
      <c r="E23" s="6"/>
      <c r="F23" s="6"/>
      <c r="G23" s="6"/>
      <c r="H23" s="6"/>
      <c r="I23" s="81"/>
      <c r="J23" s="81"/>
      <c r="K23" s="11"/>
    </row>
    <row r="24" spans="1:11" ht="31.2" x14ac:dyDescent="0.3">
      <c r="A24" s="56">
        <v>13</v>
      </c>
      <c r="B24" s="53" t="s">
        <v>128</v>
      </c>
      <c r="C24" s="6"/>
      <c r="D24" s="6"/>
      <c r="E24" s="6"/>
      <c r="F24" s="6"/>
      <c r="G24" s="6"/>
      <c r="H24" s="6"/>
      <c r="I24" s="81"/>
      <c r="J24" s="81"/>
      <c r="K24" s="11"/>
    </row>
    <row r="25" spans="1:11" ht="31.2" x14ac:dyDescent="0.3">
      <c r="A25" s="56">
        <v>14</v>
      </c>
      <c r="B25" s="55" t="s">
        <v>129</v>
      </c>
      <c r="C25" s="6"/>
      <c r="D25" s="6"/>
      <c r="E25" s="6"/>
      <c r="F25" s="6"/>
      <c r="G25" s="6"/>
      <c r="H25" s="6"/>
      <c r="I25" s="81"/>
      <c r="J25" s="81"/>
      <c r="K25" s="11"/>
    </row>
    <row r="26" spans="1:11" ht="31.2" x14ac:dyDescent="0.3">
      <c r="A26" s="56">
        <v>15</v>
      </c>
      <c r="B26" s="55" t="s">
        <v>130</v>
      </c>
      <c r="C26" s="6"/>
      <c r="D26" s="6"/>
      <c r="E26" s="6"/>
      <c r="F26" s="6"/>
      <c r="G26" s="6"/>
      <c r="H26" s="6"/>
      <c r="I26" s="81"/>
      <c r="J26" s="81"/>
      <c r="K26" s="11"/>
    </row>
    <row r="27" spans="1:11" ht="16.2" thickBot="1" x14ac:dyDescent="0.35">
      <c r="A27" s="12"/>
      <c r="B27" s="13"/>
      <c r="C27" s="13"/>
      <c r="D27" s="13"/>
      <c r="E27" s="13"/>
      <c r="F27" s="13"/>
      <c r="G27" s="13"/>
      <c r="H27" s="13"/>
      <c r="I27" s="13"/>
      <c r="J27" s="13"/>
      <c r="K27" s="14"/>
    </row>
    <row r="28" spans="1:11" ht="16.2" thickTop="1" x14ac:dyDescent="0.3"/>
    <row r="29" spans="1:11" x14ac:dyDescent="0.3">
      <c r="K29" s="15" t="s">
        <v>361</v>
      </c>
    </row>
    <row r="30" spans="1:11" x14ac:dyDescent="0.3">
      <c r="J30" s="172" t="s">
        <v>268</v>
      </c>
      <c r="K30" s="172"/>
    </row>
    <row r="35" spans="10:11" x14ac:dyDescent="0.3">
      <c r="J35" s="173" t="s">
        <v>269</v>
      </c>
      <c r="K35" s="173"/>
    </row>
    <row r="36" spans="10:11" x14ac:dyDescent="0.3">
      <c r="J36" s="172" t="str">
        <f>'Daftar Pengalaman Kerja'!G81:G81</f>
        <v>Direktur</v>
      </c>
      <c r="K36" s="172"/>
    </row>
  </sheetData>
  <mergeCells count="10">
    <mergeCell ref="J36:K36"/>
    <mergeCell ref="J35:K35"/>
    <mergeCell ref="J30:K30"/>
    <mergeCell ref="A3:A4"/>
    <mergeCell ref="B3:B4"/>
    <mergeCell ref="K3:K4"/>
    <mergeCell ref="G3:J3"/>
    <mergeCell ref="B7:B9"/>
    <mergeCell ref="B10:B11"/>
    <mergeCell ref="C3:F3"/>
  </mergeCells>
  <pageMargins left="0.7" right="0.7" top="0.75" bottom="0.75" header="0.3" footer="0.3"/>
  <pageSetup paperSize="9" scale="76" fitToHeight="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2:R32"/>
  <sheetViews>
    <sheetView view="pageBreakPreview" zoomScaleSheetLayoutView="100" workbookViewId="0">
      <selection sqref="A1:H32"/>
    </sheetView>
  </sheetViews>
  <sheetFormatPr defaultRowHeight="15.6" x14ac:dyDescent="0.3"/>
  <cols>
    <col min="1" max="1" width="6.6640625" style="29" customWidth="1"/>
    <col min="2" max="2" width="21.33203125" style="15" customWidth="1"/>
    <col min="3" max="3" width="21.88671875" style="15" customWidth="1"/>
    <col min="4" max="4" width="12.109375" style="15" customWidth="1"/>
    <col min="5" max="5" width="24.88671875" style="15" customWidth="1"/>
    <col min="6" max="6" width="24.6640625" style="15" customWidth="1"/>
    <col min="7" max="7" width="26.109375" style="15" customWidth="1"/>
    <col min="8" max="8" width="8.88671875" style="15" customWidth="1"/>
    <col min="9" max="18" width="9.109375" style="15"/>
  </cols>
  <sheetData>
    <row r="2" spans="1:8" x14ac:dyDescent="0.3">
      <c r="A2" s="28" t="s">
        <v>14</v>
      </c>
      <c r="B2" s="1" t="s">
        <v>43</v>
      </c>
    </row>
    <row r="3" spans="1:8" x14ac:dyDescent="0.3">
      <c r="A3" s="28"/>
      <c r="B3" s="1"/>
    </row>
    <row r="4" spans="1:8" x14ac:dyDescent="0.3">
      <c r="A4" s="28"/>
      <c r="B4" s="1" t="s">
        <v>51</v>
      </c>
    </row>
    <row r="5" spans="1:8" x14ac:dyDescent="0.3">
      <c r="A5" s="28"/>
      <c r="B5" s="1" t="s">
        <v>52</v>
      </c>
    </row>
    <row r="6" spans="1:8" ht="16.2" thickBot="1" x14ac:dyDescent="0.35"/>
    <row r="7" spans="1:8" ht="15.75" customHeight="1" x14ac:dyDescent="0.3">
      <c r="A7" s="192" t="s">
        <v>160</v>
      </c>
      <c r="B7" s="196" t="s">
        <v>45</v>
      </c>
      <c r="C7" s="198" t="s">
        <v>46</v>
      </c>
      <c r="D7" s="189" t="s">
        <v>47</v>
      </c>
      <c r="E7" s="189" t="s">
        <v>48</v>
      </c>
      <c r="F7" s="189" t="s">
        <v>49</v>
      </c>
      <c r="G7" s="189" t="s">
        <v>219</v>
      </c>
      <c r="H7" s="190" t="s">
        <v>50</v>
      </c>
    </row>
    <row r="8" spans="1:8" ht="32.25" customHeight="1" x14ac:dyDescent="0.3">
      <c r="A8" s="193"/>
      <c r="B8" s="197"/>
      <c r="C8" s="199"/>
      <c r="D8" s="183"/>
      <c r="E8" s="183"/>
      <c r="F8" s="183"/>
      <c r="G8" s="183"/>
      <c r="H8" s="191"/>
    </row>
    <row r="9" spans="1:8" x14ac:dyDescent="0.3">
      <c r="A9" s="186">
        <v>1</v>
      </c>
      <c r="B9" s="202" t="str">
        <f>'pernyataan kesediaan'!D4</f>
        <v>Ir.Fatmawati</v>
      </c>
      <c r="C9" s="186" t="s">
        <v>266</v>
      </c>
      <c r="D9" s="186" t="s">
        <v>216</v>
      </c>
      <c r="E9" s="186" t="s">
        <v>113</v>
      </c>
      <c r="F9" s="186" t="s">
        <v>217</v>
      </c>
      <c r="G9" s="186" t="s">
        <v>218</v>
      </c>
      <c r="H9" s="186">
        <v>1</v>
      </c>
    </row>
    <row r="10" spans="1:8" x14ac:dyDescent="0.3">
      <c r="A10" s="187"/>
      <c r="B10" s="203"/>
      <c r="C10" s="187"/>
      <c r="D10" s="187"/>
      <c r="E10" s="187"/>
      <c r="F10" s="187"/>
      <c r="G10" s="187"/>
      <c r="H10" s="187"/>
    </row>
    <row r="11" spans="1:8" ht="6.75" customHeight="1" x14ac:dyDescent="0.3">
      <c r="A11" s="187"/>
      <c r="B11" s="203"/>
      <c r="C11" s="187"/>
      <c r="D11" s="187"/>
      <c r="E11" s="187"/>
      <c r="F11" s="187"/>
      <c r="G11" s="187"/>
      <c r="H11" s="187"/>
    </row>
    <row r="12" spans="1:8" ht="16.2" hidden="1" thickBot="1" x14ac:dyDescent="0.35">
      <c r="A12" s="188"/>
      <c r="B12" s="204"/>
      <c r="C12" s="188"/>
      <c r="D12" s="188"/>
      <c r="E12" s="188"/>
      <c r="F12" s="188"/>
      <c r="G12" s="188"/>
      <c r="H12" s="188"/>
    </row>
    <row r="13" spans="1:8" ht="35.25" customHeight="1" thickBot="1" x14ac:dyDescent="0.35">
      <c r="A13" s="118">
        <v>2</v>
      </c>
      <c r="B13" s="124" t="str">
        <f>'pernyataan kesediaan'!D39</f>
        <v>Deddy Sanjaya Rioeh,ST</v>
      </c>
      <c r="C13" s="118" t="s">
        <v>266</v>
      </c>
      <c r="D13" s="118" t="s">
        <v>216</v>
      </c>
      <c r="E13" s="118" t="s">
        <v>113</v>
      </c>
      <c r="F13" s="118" t="s">
        <v>327</v>
      </c>
      <c r="G13" s="118" t="s">
        <v>218</v>
      </c>
      <c r="H13" s="118">
        <v>1</v>
      </c>
    </row>
    <row r="14" spans="1:8" x14ac:dyDescent="0.3">
      <c r="A14" s="162"/>
    </row>
    <row r="15" spans="1:8" x14ac:dyDescent="0.3">
      <c r="A15" s="162"/>
      <c r="B15" s="1" t="s">
        <v>328</v>
      </c>
    </row>
    <row r="16" spans="1:8" x14ac:dyDescent="0.3">
      <c r="A16" s="162"/>
      <c r="B16" s="1" t="s">
        <v>53</v>
      </c>
    </row>
    <row r="17" spans="1:18" ht="16.2" thickBot="1" x14ac:dyDescent="0.35">
      <c r="A17" s="162"/>
    </row>
    <row r="18" spans="1:18" ht="16.2" thickTop="1" x14ac:dyDescent="0.3">
      <c r="A18" s="194" t="s">
        <v>160</v>
      </c>
      <c r="B18" s="200" t="s">
        <v>45</v>
      </c>
      <c r="C18" s="201" t="s">
        <v>46</v>
      </c>
      <c r="D18" s="182" t="s">
        <v>47</v>
      </c>
      <c r="E18" s="182" t="s">
        <v>220</v>
      </c>
      <c r="F18" s="182" t="s">
        <v>49</v>
      </c>
      <c r="G18" s="182" t="s">
        <v>221</v>
      </c>
      <c r="H18" s="184" t="s">
        <v>50</v>
      </c>
    </row>
    <row r="19" spans="1:18" ht="31.5" customHeight="1" x14ac:dyDescent="0.3">
      <c r="A19" s="195"/>
      <c r="B19" s="197"/>
      <c r="C19" s="199"/>
      <c r="D19" s="183"/>
      <c r="E19" s="183"/>
      <c r="F19" s="183"/>
      <c r="G19" s="183"/>
      <c r="H19" s="185"/>
    </row>
    <row r="20" spans="1:18" ht="27.75" customHeight="1" x14ac:dyDescent="0.3">
      <c r="A20" s="109">
        <v>1</v>
      </c>
      <c r="B20" s="119" t="s">
        <v>272</v>
      </c>
      <c r="C20" s="82" t="str">
        <f>C9</f>
        <v>CV.TOHA PRATAMA</v>
      </c>
      <c r="D20" s="83" t="s">
        <v>216</v>
      </c>
      <c r="E20" s="89" t="s">
        <v>331</v>
      </c>
      <c r="F20" s="89" t="s">
        <v>331</v>
      </c>
      <c r="G20" s="83" t="s">
        <v>332</v>
      </c>
      <c r="H20" s="110">
        <v>1</v>
      </c>
    </row>
    <row r="21" spans="1:18" ht="27.75" customHeight="1" x14ac:dyDescent="0.3">
      <c r="A21" s="114">
        <v>2</v>
      </c>
      <c r="B21" s="116" t="s">
        <v>346</v>
      </c>
      <c r="C21" s="82" t="str">
        <f>C20</f>
        <v>CV.TOHA PRATAMA</v>
      </c>
      <c r="D21" s="83" t="s">
        <v>216</v>
      </c>
      <c r="E21" s="115" t="s">
        <v>275</v>
      </c>
      <c r="F21" s="115" t="s">
        <v>275</v>
      </c>
      <c r="G21" s="83" t="s">
        <v>274</v>
      </c>
      <c r="H21" s="110">
        <v>1</v>
      </c>
    </row>
    <row r="22" spans="1:18" ht="27.75" customHeight="1" thickBot="1" x14ac:dyDescent="0.35">
      <c r="A22" s="111">
        <v>3</v>
      </c>
      <c r="B22" s="117" t="s">
        <v>347</v>
      </c>
      <c r="C22" s="125" t="str">
        <f>C21</f>
        <v>CV.TOHA PRATAMA</v>
      </c>
      <c r="D22" s="112" t="s">
        <v>216</v>
      </c>
      <c r="E22" s="113" t="s">
        <v>333</v>
      </c>
      <c r="F22" s="113" t="s">
        <v>333</v>
      </c>
      <c r="G22" s="112" t="s">
        <v>333</v>
      </c>
      <c r="H22" s="126">
        <v>1</v>
      </c>
    </row>
    <row r="23" spans="1:18" ht="16.2" thickTop="1" x14ac:dyDescent="0.3">
      <c r="H23" s="39"/>
    </row>
    <row r="24" spans="1:18" x14ac:dyDescent="0.3">
      <c r="B24" s="1" t="s">
        <v>330</v>
      </c>
      <c r="F24" s="172"/>
      <c r="G24" s="172"/>
      <c r="H24" s="172"/>
    </row>
    <row r="25" spans="1:18" x14ac:dyDescent="0.3">
      <c r="B25" s="1" t="s">
        <v>329</v>
      </c>
    </row>
    <row r="26" spans="1:18" ht="16.2" thickBot="1" x14ac:dyDescent="0.35"/>
    <row r="27" spans="1:18" ht="16.2" thickTop="1" x14ac:dyDescent="0.3">
      <c r="A27" s="194" t="s">
        <v>160</v>
      </c>
      <c r="B27" s="200" t="s">
        <v>45</v>
      </c>
      <c r="C27" s="201" t="s">
        <v>46</v>
      </c>
      <c r="D27" s="182" t="s">
        <v>47</v>
      </c>
      <c r="E27" s="182" t="s">
        <v>220</v>
      </c>
      <c r="F27" s="182" t="s">
        <v>49</v>
      </c>
      <c r="G27" s="182" t="s">
        <v>221</v>
      </c>
      <c r="H27" s="184" t="s">
        <v>50</v>
      </c>
    </row>
    <row r="28" spans="1:18" x14ac:dyDescent="0.3">
      <c r="A28" s="195"/>
      <c r="B28" s="197"/>
      <c r="C28" s="199"/>
      <c r="D28" s="183"/>
      <c r="E28" s="183"/>
      <c r="F28" s="183"/>
      <c r="G28" s="183"/>
      <c r="H28" s="185"/>
    </row>
    <row r="29" spans="1:18" s="57" customFormat="1" ht="30.75" customHeight="1" x14ac:dyDescent="0.3">
      <c r="A29" s="109">
        <v>1</v>
      </c>
      <c r="B29" s="119" t="s">
        <v>334</v>
      </c>
      <c r="C29" s="83" t="str">
        <f>C20</f>
        <v>CV.TOHA PRATAMA</v>
      </c>
      <c r="D29" s="83" t="s">
        <v>216</v>
      </c>
      <c r="E29" s="127" t="s">
        <v>336</v>
      </c>
      <c r="F29" s="127" t="s">
        <v>336</v>
      </c>
      <c r="G29" s="127" t="s">
        <v>336</v>
      </c>
      <c r="H29" s="110">
        <v>1</v>
      </c>
      <c r="I29" s="29"/>
      <c r="J29" s="29"/>
      <c r="K29" s="29"/>
      <c r="L29" s="29"/>
      <c r="M29" s="29"/>
      <c r="N29" s="29"/>
      <c r="O29" s="29"/>
      <c r="P29" s="29"/>
      <c r="Q29" s="29"/>
      <c r="R29" s="29"/>
    </row>
    <row r="30" spans="1:18" s="57" customFormat="1" ht="30.75" customHeight="1" x14ac:dyDescent="0.3">
      <c r="A30" s="114">
        <v>2</v>
      </c>
      <c r="B30" s="116" t="s">
        <v>273</v>
      </c>
      <c r="C30" s="83" t="str">
        <f>C29</f>
        <v>CV.TOHA PRATAMA</v>
      </c>
      <c r="D30" s="83" t="s">
        <v>216</v>
      </c>
      <c r="E30" s="128" t="s">
        <v>337</v>
      </c>
      <c r="F30" s="128" t="s">
        <v>337</v>
      </c>
      <c r="G30" s="128" t="s">
        <v>337</v>
      </c>
      <c r="H30" s="110">
        <v>1</v>
      </c>
      <c r="I30" s="29"/>
      <c r="J30" s="29"/>
      <c r="K30" s="29"/>
      <c r="L30" s="29"/>
      <c r="M30" s="29"/>
      <c r="N30" s="29"/>
      <c r="O30" s="29"/>
      <c r="P30" s="29"/>
      <c r="Q30" s="29"/>
      <c r="R30" s="29"/>
    </row>
    <row r="31" spans="1:18" s="57" customFormat="1" ht="30.75" customHeight="1" thickBot="1" x14ac:dyDescent="0.35">
      <c r="A31" s="111">
        <v>3</v>
      </c>
      <c r="B31" s="117" t="s">
        <v>335</v>
      </c>
      <c r="C31" s="112" t="str">
        <f>C30</f>
        <v>CV.TOHA PRATAMA</v>
      </c>
      <c r="D31" s="112" t="s">
        <v>216</v>
      </c>
      <c r="E31" s="129" t="s">
        <v>338</v>
      </c>
      <c r="F31" s="129" t="s">
        <v>339</v>
      </c>
      <c r="G31" s="129" t="s">
        <v>338</v>
      </c>
      <c r="H31" s="126">
        <v>1</v>
      </c>
      <c r="I31" s="29"/>
      <c r="J31" s="29"/>
      <c r="K31" s="29"/>
      <c r="L31" s="29"/>
      <c r="M31" s="29"/>
      <c r="N31" s="29"/>
      <c r="O31" s="29"/>
      <c r="P31" s="29"/>
      <c r="Q31" s="29"/>
      <c r="R31" s="29"/>
    </row>
    <row r="32" spans="1:18" ht="16.2" thickTop="1" x14ac:dyDescent="0.3"/>
  </sheetData>
  <mergeCells count="34">
    <mergeCell ref="A27:A28"/>
    <mergeCell ref="B27:B28"/>
    <mergeCell ref="C27:C28"/>
    <mergeCell ref="D27:D28"/>
    <mergeCell ref="E27:E28"/>
    <mergeCell ref="A7:A8"/>
    <mergeCell ref="A9:A12"/>
    <mergeCell ref="A14:A17"/>
    <mergeCell ref="A18:A19"/>
    <mergeCell ref="F18:F19"/>
    <mergeCell ref="B7:B8"/>
    <mergeCell ref="C7:C8"/>
    <mergeCell ref="D7:D8"/>
    <mergeCell ref="E7:E8"/>
    <mergeCell ref="B18:B19"/>
    <mergeCell ref="C18:C19"/>
    <mergeCell ref="D18:D19"/>
    <mergeCell ref="E18:E19"/>
    <mergeCell ref="B9:B12"/>
    <mergeCell ref="C9:C12"/>
    <mergeCell ref="D9:D12"/>
    <mergeCell ref="F7:F8"/>
    <mergeCell ref="G7:G8"/>
    <mergeCell ref="H7:H8"/>
    <mergeCell ref="G18:G19"/>
    <mergeCell ref="H18:H19"/>
    <mergeCell ref="F9:F12"/>
    <mergeCell ref="G9:G12"/>
    <mergeCell ref="H9:H12"/>
    <mergeCell ref="F27:F28"/>
    <mergeCell ref="G27:G28"/>
    <mergeCell ref="H27:H28"/>
    <mergeCell ref="E9:E12"/>
    <mergeCell ref="F24:H24"/>
  </mergeCells>
  <pageMargins left="0.7" right="0.7" top="0.75" bottom="0.75" header="0.3" footer="0.3"/>
  <pageSetup paperSize="9" scale="5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AA25"/>
  <sheetViews>
    <sheetView view="pageBreakPreview" zoomScaleNormal="55" zoomScaleSheetLayoutView="100" workbookViewId="0">
      <selection activeCell="P19" sqref="P19"/>
    </sheetView>
  </sheetViews>
  <sheetFormatPr defaultRowHeight="15.6" x14ac:dyDescent="0.3"/>
  <cols>
    <col min="1" max="1" width="5.5546875" style="15" customWidth="1"/>
    <col min="2" max="2" width="21.6640625" style="15" customWidth="1"/>
    <col min="3" max="6" width="5.6640625" style="15" customWidth="1"/>
    <col min="7" max="7" width="5.5546875" style="15" customWidth="1"/>
    <col min="8" max="8" width="8.88671875" style="15" customWidth="1"/>
    <col min="9" max="9" width="4.6640625" style="15" hidden="1" customWidth="1"/>
    <col min="10" max="10" width="7.44140625" style="15" customWidth="1"/>
    <col min="11" max="11" width="9.33203125" style="15" customWidth="1"/>
    <col min="12" max="27" width="9.109375" style="15"/>
  </cols>
  <sheetData>
    <row r="1" spans="1:14" x14ac:dyDescent="0.3">
      <c r="A1" s="1" t="s">
        <v>15</v>
      </c>
      <c r="B1" s="1" t="s">
        <v>54</v>
      </c>
    </row>
    <row r="3" spans="1:14" x14ac:dyDescent="0.3">
      <c r="A3" s="199" t="s">
        <v>0</v>
      </c>
      <c r="B3" s="154" t="s">
        <v>44</v>
      </c>
      <c r="C3" s="199" t="s">
        <v>55</v>
      </c>
      <c r="D3" s="199"/>
      <c r="E3" s="199"/>
      <c r="F3" s="199"/>
      <c r="G3" s="183" t="s">
        <v>4</v>
      </c>
      <c r="H3" s="183"/>
      <c r="I3" s="183"/>
      <c r="J3" s="85"/>
    </row>
    <row r="4" spans="1:14" x14ac:dyDescent="0.3">
      <c r="A4" s="199"/>
      <c r="B4" s="154"/>
      <c r="C4" s="199"/>
      <c r="D4" s="199"/>
      <c r="E4" s="199"/>
      <c r="F4" s="199"/>
      <c r="G4" s="183"/>
      <c r="H4" s="183"/>
      <c r="I4" s="183"/>
      <c r="J4" s="85"/>
    </row>
    <row r="5" spans="1:14" x14ac:dyDescent="0.3">
      <c r="A5" s="199"/>
      <c r="B5" s="154"/>
      <c r="C5" s="80">
        <v>1</v>
      </c>
      <c r="D5" s="80">
        <v>2</v>
      </c>
      <c r="E5" s="80">
        <v>3</v>
      </c>
      <c r="F5" s="80">
        <v>4</v>
      </c>
      <c r="G5" s="183"/>
      <c r="H5" s="183"/>
      <c r="I5" s="183"/>
      <c r="J5" s="85"/>
    </row>
    <row r="6" spans="1:14" x14ac:dyDescent="0.3">
      <c r="A6" s="207" t="s">
        <v>56</v>
      </c>
      <c r="B6" s="207"/>
      <c r="C6" s="207"/>
      <c r="D6" s="207"/>
      <c r="E6" s="207"/>
      <c r="F6" s="207"/>
      <c r="G6" s="207"/>
      <c r="H6" s="207"/>
      <c r="I6" s="207"/>
      <c r="J6" s="85"/>
    </row>
    <row r="7" spans="1:14" x14ac:dyDescent="0.3">
      <c r="A7" s="80">
        <v>1</v>
      </c>
      <c r="B7" s="38" t="str">
        <f>'komposisi tim'!B9</f>
        <v>Ir.Fatmawati</v>
      </c>
      <c r="C7" s="86"/>
      <c r="D7" s="86"/>
      <c r="E7" s="86"/>
      <c r="F7" s="86"/>
      <c r="G7" s="206">
        <v>1</v>
      </c>
      <c r="H7" s="206"/>
      <c r="I7" s="206"/>
      <c r="J7" s="85"/>
    </row>
    <row r="8" spans="1:14" x14ac:dyDescent="0.3">
      <c r="A8" s="80">
        <v>2</v>
      </c>
      <c r="B8" s="38" t="str">
        <f>'komposisi tim'!B20</f>
        <v>Zulkifli, ST</v>
      </c>
      <c r="C8" s="88"/>
      <c r="D8" s="86"/>
      <c r="E8" s="86"/>
      <c r="F8" s="86"/>
      <c r="G8" s="206">
        <v>1</v>
      </c>
      <c r="H8" s="206"/>
      <c r="I8" s="206"/>
      <c r="J8" s="85"/>
    </row>
    <row r="9" spans="1:14" x14ac:dyDescent="0.3">
      <c r="A9" s="80">
        <v>3</v>
      </c>
      <c r="B9" s="38" t="str">
        <f>'komposisi tim'!B21</f>
        <v>Moh.Safar, ST</v>
      </c>
      <c r="C9" s="88"/>
      <c r="D9" s="88"/>
      <c r="E9" s="86"/>
      <c r="F9" s="86"/>
      <c r="G9" s="206">
        <v>1</v>
      </c>
      <c r="H9" s="206"/>
      <c r="I9" s="206"/>
      <c r="J9" s="85"/>
    </row>
    <row r="10" spans="1:14" x14ac:dyDescent="0.3">
      <c r="A10" s="80">
        <v>4</v>
      </c>
      <c r="B10" s="38" t="str">
        <f>'komposisi tim'!B22</f>
        <v>Iswanto, ST</v>
      </c>
      <c r="C10" s="88"/>
      <c r="D10" s="88"/>
      <c r="E10" s="86"/>
      <c r="F10" s="86"/>
      <c r="G10" s="206">
        <v>1</v>
      </c>
      <c r="H10" s="206"/>
      <c r="I10" s="206"/>
      <c r="J10" s="85"/>
    </row>
    <row r="11" spans="1:14" x14ac:dyDescent="0.3">
      <c r="A11" s="206"/>
      <c r="B11" s="206"/>
      <c r="C11" s="206"/>
      <c r="D11" s="206"/>
      <c r="E11" s="206"/>
      <c r="F11" s="206"/>
      <c r="G11" s="208">
        <f>SUM(G7:I10)</f>
        <v>4</v>
      </c>
      <c r="H11" s="171"/>
      <c r="I11" s="209"/>
      <c r="J11" s="85"/>
      <c r="L11" s="205"/>
      <c r="M11" s="205"/>
      <c r="N11" s="205"/>
    </row>
    <row r="12" spans="1:14" x14ac:dyDescent="0.3">
      <c r="A12" s="206"/>
      <c r="B12" s="206"/>
      <c r="C12" s="206"/>
      <c r="D12" s="206"/>
      <c r="E12" s="206"/>
      <c r="F12" s="206"/>
      <c r="G12" s="210"/>
      <c r="H12" s="165"/>
      <c r="I12" s="166"/>
      <c r="J12" s="85"/>
    </row>
    <row r="13" spans="1:14" ht="9.75" customHeight="1" x14ac:dyDescent="0.3"/>
    <row r="14" spans="1:14" x14ac:dyDescent="0.3">
      <c r="B14" s="15" t="s">
        <v>58</v>
      </c>
      <c r="D14" s="84"/>
      <c r="E14" s="42" t="s">
        <v>59</v>
      </c>
    </row>
    <row r="15" spans="1:14" x14ac:dyDescent="0.3">
      <c r="D15" s="84"/>
    </row>
    <row r="16" spans="1:14" x14ac:dyDescent="0.3">
      <c r="D16" s="84"/>
    </row>
    <row r="18" spans="6:9" x14ac:dyDescent="0.3">
      <c r="G18" s="1"/>
      <c r="H18" s="39" t="str">
        <f>'Daftar Pengalaman Kerja'!G74</f>
        <v>Pasangkayu,  13 Februari 2015</v>
      </c>
      <c r="I18" s="1"/>
    </row>
    <row r="19" spans="6:9" x14ac:dyDescent="0.3">
      <c r="F19" s="29" t="str">
        <f>'Daftar Pengalaman Kerja'!G75</f>
        <v>CV.TOHA PRATAMA</v>
      </c>
      <c r="G19" s="1"/>
      <c r="H19" s="1"/>
      <c r="I19" s="1"/>
    </row>
    <row r="20" spans="6:9" x14ac:dyDescent="0.3">
      <c r="F20" s="29"/>
      <c r="G20" s="1"/>
      <c r="H20" s="1"/>
      <c r="I20" s="1"/>
    </row>
    <row r="21" spans="6:9" x14ac:dyDescent="0.3">
      <c r="F21" s="29"/>
      <c r="G21" s="1"/>
      <c r="H21" s="1"/>
      <c r="I21" s="1"/>
    </row>
    <row r="22" spans="6:9" x14ac:dyDescent="0.3">
      <c r="F22" s="29"/>
      <c r="G22" s="1"/>
      <c r="H22" s="1"/>
      <c r="I22" s="1"/>
    </row>
    <row r="23" spans="6:9" x14ac:dyDescent="0.3">
      <c r="F23" s="29"/>
      <c r="G23" s="1"/>
      <c r="H23" s="1"/>
      <c r="I23" s="1"/>
    </row>
    <row r="24" spans="6:9" x14ac:dyDescent="0.3">
      <c r="F24" s="29" t="str">
        <f>'Daftar Pengalaman Kerja'!G80</f>
        <v>ANDI NUR FAISAL, ST</v>
      </c>
      <c r="G24" s="1"/>
      <c r="H24" s="1"/>
      <c r="I24" s="1"/>
    </row>
    <row r="25" spans="6:9" x14ac:dyDescent="0.3">
      <c r="F25" s="29" t="str">
        <f>'Daftar Pengalaman Kerja'!G81</f>
        <v>Direktur</v>
      </c>
    </row>
  </sheetData>
  <mergeCells count="12">
    <mergeCell ref="L11:N11"/>
    <mergeCell ref="A11:F12"/>
    <mergeCell ref="A3:A5"/>
    <mergeCell ref="B3:B5"/>
    <mergeCell ref="C3:F4"/>
    <mergeCell ref="G3:I5"/>
    <mergeCell ref="A6:I6"/>
    <mergeCell ref="G7:I7"/>
    <mergeCell ref="G8:I8"/>
    <mergeCell ref="G9:I9"/>
    <mergeCell ref="G10:I10"/>
    <mergeCell ref="G11:I12"/>
  </mergeCells>
  <pageMargins left="1.52" right="0.7" top="0.75" bottom="0.75" header="0.3" footer="0.3"/>
  <pageSetup paperSize="9" scale="81"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2:BT135"/>
  <sheetViews>
    <sheetView view="pageBreakPreview" topLeftCell="A85" zoomScale="85" zoomScaleNormal="70" zoomScaleSheetLayoutView="85" workbookViewId="0">
      <selection activeCell="AP12" sqref="AP12"/>
    </sheetView>
  </sheetViews>
  <sheetFormatPr defaultRowHeight="15.6" x14ac:dyDescent="0.3"/>
  <cols>
    <col min="1" max="1" width="3" style="15" customWidth="1"/>
    <col min="2" max="2" width="4" style="15" customWidth="1"/>
    <col min="3" max="3" width="3.109375" style="15" customWidth="1"/>
    <col min="4" max="4" width="33.44140625" style="15" customWidth="1"/>
    <col min="5" max="5" width="2.5546875" style="15" customWidth="1"/>
    <col min="6" max="8" width="9.109375" style="15"/>
    <col min="9" max="9" width="6.88671875" style="15" customWidth="1"/>
    <col min="10" max="10" width="5" style="15" customWidth="1"/>
    <col min="11" max="11" width="7.109375" style="15" customWidth="1"/>
    <col min="12" max="12" width="7.44140625" style="15" customWidth="1"/>
    <col min="13" max="13" width="3" style="15" customWidth="1"/>
    <col min="14" max="14" width="3.5546875" style="15" customWidth="1"/>
    <col min="15" max="15" width="4.33203125" style="15" customWidth="1"/>
    <col min="16" max="16" width="32.88671875" style="15" customWidth="1"/>
    <col min="17" max="17" width="2.5546875" style="15" customWidth="1"/>
    <col min="18" max="18" width="7.44140625" customWidth="1"/>
    <col min="20" max="20" width="6.88671875" customWidth="1"/>
    <col min="21" max="21" width="5.6640625" customWidth="1"/>
    <col min="22" max="22" width="5.44140625" customWidth="1"/>
    <col min="25" max="25" width="2.5546875" customWidth="1"/>
    <col min="26" max="26" width="3.88671875" customWidth="1"/>
    <col min="27" max="27" width="5.5546875" customWidth="1"/>
    <col min="28" max="28" width="31.109375" customWidth="1"/>
    <col min="29" max="29" width="2.33203125" customWidth="1"/>
    <col min="31" max="32" width="7.88671875" customWidth="1"/>
    <col min="33" max="33" width="7.44140625" customWidth="1"/>
    <col min="34" max="34" width="4" customWidth="1"/>
    <col min="37" max="37" width="2.5546875" customWidth="1"/>
    <col min="38" max="38" width="3.33203125" customWidth="1"/>
    <col min="39" max="39" width="4.33203125" customWidth="1"/>
    <col min="40" max="40" width="32.44140625" customWidth="1"/>
    <col min="41" max="41" width="1.5546875" customWidth="1"/>
    <col min="42" max="43" width="8" customWidth="1"/>
    <col min="44" max="44" width="8.109375" customWidth="1"/>
    <col min="46" max="46" width="3.5546875" customWidth="1"/>
    <col min="49" max="49" width="2.88671875" customWidth="1"/>
    <col min="50" max="50" width="2.6640625" customWidth="1"/>
    <col min="51" max="51" width="5" customWidth="1"/>
    <col min="52" max="52" width="31.5546875" customWidth="1"/>
    <col min="53" max="53" width="2" customWidth="1"/>
    <col min="56" max="56" width="6" customWidth="1"/>
    <col min="58" max="58" width="3.33203125" customWidth="1"/>
    <col min="61" max="61" width="2.44140625" customWidth="1"/>
    <col min="62" max="62" width="2.6640625" customWidth="1"/>
    <col min="63" max="63" width="4.5546875" customWidth="1"/>
    <col min="64" max="64" width="31.88671875" customWidth="1"/>
    <col min="65" max="65" width="2.109375" customWidth="1"/>
    <col min="68" max="68" width="7.88671875" customWidth="1"/>
    <col min="69" max="69" width="7.44140625" customWidth="1"/>
    <col min="70" max="70" width="5" customWidth="1"/>
  </cols>
  <sheetData>
    <row r="2" spans="1:72" x14ac:dyDescent="0.3">
      <c r="A2" s="1" t="s">
        <v>12</v>
      </c>
      <c r="B2" s="1" t="s">
        <v>88</v>
      </c>
    </row>
    <row r="3" spans="1:72" x14ac:dyDescent="0.3">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row>
    <row r="4" spans="1:72" ht="15.75" customHeight="1" x14ac:dyDescent="0.3">
      <c r="A4" s="43" t="s">
        <v>12</v>
      </c>
      <c r="B4" s="41" t="s">
        <v>60</v>
      </c>
      <c r="C4" s="41"/>
      <c r="D4" s="41"/>
      <c r="E4" s="29" t="s">
        <v>35</v>
      </c>
      <c r="F4" s="15" t="s">
        <v>96</v>
      </c>
      <c r="M4" s="43" t="s">
        <v>12</v>
      </c>
      <c r="N4" s="161" t="s">
        <v>60</v>
      </c>
      <c r="O4" s="161"/>
      <c r="P4" s="161"/>
      <c r="Q4" s="29" t="s">
        <v>35</v>
      </c>
      <c r="R4" s="15" t="s">
        <v>107</v>
      </c>
      <c r="S4" s="15"/>
      <c r="T4" s="15"/>
      <c r="U4" s="15"/>
      <c r="V4" s="15"/>
      <c r="W4" s="15"/>
      <c r="X4" s="15"/>
      <c r="Y4" s="43" t="s">
        <v>12</v>
      </c>
      <c r="Z4" s="161" t="s">
        <v>60</v>
      </c>
      <c r="AA4" s="161"/>
      <c r="AB4" s="161"/>
      <c r="AC4" s="29" t="s">
        <v>35</v>
      </c>
      <c r="AD4" s="15" t="s">
        <v>110</v>
      </c>
      <c r="AE4" s="15"/>
      <c r="AF4" s="15"/>
      <c r="AG4" s="15"/>
      <c r="AH4" s="15"/>
      <c r="AI4" s="15"/>
      <c r="AJ4" s="15"/>
      <c r="AK4" s="43" t="s">
        <v>12</v>
      </c>
      <c r="AL4" s="161" t="s">
        <v>60</v>
      </c>
      <c r="AM4" s="161"/>
      <c r="AN4" s="161"/>
      <c r="AO4" s="29" t="s">
        <v>35</v>
      </c>
      <c r="AP4" s="15" t="str">
        <f>AD4</f>
        <v>Ahli Arsitektur</v>
      </c>
      <c r="AQ4" s="15"/>
      <c r="AR4" s="15"/>
      <c r="AS4" s="15"/>
      <c r="AT4" s="15"/>
      <c r="AU4" s="15"/>
      <c r="AV4" s="15"/>
      <c r="AW4" s="43" t="s">
        <v>12</v>
      </c>
      <c r="AX4" s="161" t="s">
        <v>60</v>
      </c>
      <c r="AY4" s="161"/>
      <c r="AZ4" s="161"/>
      <c r="BA4" s="29" t="s">
        <v>35</v>
      </c>
      <c r="BB4" s="15" t="s">
        <v>107</v>
      </c>
      <c r="BC4" s="15"/>
      <c r="BD4" s="15"/>
      <c r="BE4" s="15"/>
      <c r="BF4" s="15"/>
      <c r="BG4" s="15"/>
      <c r="BH4" s="15"/>
      <c r="BI4" s="43" t="s">
        <v>12</v>
      </c>
      <c r="BJ4" s="161" t="s">
        <v>60</v>
      </c>
      <c r="BK4" s="161"/>
      <c r="BL4" s="161"/>
      <c r="BM4" s="29" t="s">
        <v>35</v>
      </c>
      <c r="BN4" s="15"/>
      <c r="BO4" s="15"/>
      <c r="BP4" s="15"/>
      <c r="BQ4" s="15"/>
      <c r="BR4" s="15"/>
      <c r="BS4" s="15"/>
      <c r="BT4" s="15"/>
    </row>
    <row r="5" spans="1:72" ht="15" customHeight="1" x14ac:dyDescent="0.3">
      <c r="A5" s="43" t="s">
        <v>13</v>
      </c>
      <c r="B5" s="41" t="s">
        <v>61</v>
      </c>
      <c r="C5" s="41"/>
      <c r="D5" s="41"/>
      <c r="E5" s="29" t="s">
        <v>35</v>
      </c>
      <c r="F5" s="15" t="s">
        <v>226</v>
      </c>
      <c r="M5" s="43" t="s">
        <v>13</v>
      </c>
      <c r="N5" s="161" t="s">
        <v>61</v>
      </c>
      <c r="O5" s="161"/>
      <c r="P5" s="161"/>
      <c r="Q5" s="29" t="s">
        <v>35</v>
      </c>
      <c r="R5" s="15" t="s">
        <v>226</v>
      </c>
      <c r="S5" s="15"/>
      <c r="T5" s="15"/>
      <c r="U5" s="15"/>
      <c r="V5" s="15"/>
      <c r="W5" s="15"/>
      <c r="X5" s="15"/>
      <c r="Y5" s="43" t="s">
        <v>13</v>
      </c>
      <c r="Z5" s="161" t="s">
        <v>61</v>
      </c>
      <c r="AA5" s="161"/>
      <c r="AB5" s="161"/>
      <c r="AC5" s="29" t="s">
        <v>35</v>
      </c>
      <c r="AD5" s="15" t="s">
        <v>226</v>
      </c>
      <c r="AE5" s="15"/>
      <c r="AF5" s="15"/>
      <c r="AG5" s="15"/>
      <c r="AH5" s="15"/>
      <c r="AI5" s="15"/>
      <c r="AJ5" s="15"/>
      <c r="AK5" s="43" t="s">
        <v>13</v>
      </c>
      <c r="AL5" s="161" t="s">
        <v>61</v>
      </c>
      <c r="AM5" s="161"/>
      <c r="AN5" s="161"/>
      <c r="AO5" s="29" t="s">
        <v>35</v>
      </c>
      <c r="AP5" s="15" t="s">
        <v>234</v>
      </c>
      <c r="AQ5" s="15"/>
      <c r="AR5" s="15"/>
      <c r="AS5" s="15"/>
      <c r="AT5" s="15"/>
      <c r="AU5" s="15"/>
      <c r="AV5" s="15"/>
      <c r="AW5" s="43" t="s">
        <v>13</v>
      </c>
      <c r="AX5" s="161" t="s">
        <v>61</v>
      </c>
      <c r="AY5" s="161"/>
      <c r="AZ5" s="161"/>
      <c r="BA5" s="29" t="s">
        <v>35</v>
      </c>
      <c r="BB5" s="15" t="s">
        <v>226</v>
      </c>
      <c r="BC5" s="15"/>
      <c r="BD5" s="15"/>
      <c r="BE5" s="15"/>
      <c r="BF5" s="15"/>
      <c r="BG5" s="15"/>
      <c r="BH5" s="15"/>
      <c r="BI5" s="43" t="s">
        <v>13</v>
      </c>
      <c r="BJ5" s="161" t="s">
        <v>61</v>
      </c>
      <c r="BK5" s="161"/>
      <c r="BL5" s="161"/>
      <c r="BM5" s="29" t="s">
        <v>35</v>
      </c>
      <c r="BN5" s="15"/>
      <c r="BO5" s="15"/>
      <c r="BP5" s="15"/>
      <c r="BQ5" s="15"/>
      <c r="BR5" s="15"/>
      <c r="BS5" s="15"/>
      <c r="BT5" s="15"/>
    </row>
    <row r="6" spans="1:72" ht="15" customHeight="1" x14ac:dyDescent="0.3">
      <c r="A6" s="43" t="s">
        <v>11</v>
      </c>
      <c r="B6" s="41" t="s">
        <v>44</v>
      </c>
      <c r="C6" s="41"/>
      <c r="D6" s="41"/>
      <c r="E6" s="29" t="s">
        <v>35</v>
      </c>
      <c r="F6" s="15" t="s">
        <v>227</v>
      </c>
      <c r="M6" s="43" t="s">
        <v>11</v>
      </c>
      <c r="N6" s="161" t="s">
        <v>44</v>
      </c>
      <c r="O6" s="161"/>
      <c r="P6" s="161"/>
      <c r="Q6" s="29" t="s">
        <v>35</v>
      </c>
      <c r="R6" s="15" t="s">
        <v>224</v>
      </c>
      <c r="S6" s="15"/>
      <c r="T6" s="15"/>
      <c r="U6" s="15"/>
      <c r="V6" s="15"/>
      <c r="W6" s="15"/>
      <c r="X6" s="15"/>
      <c r="Y6" s="43" t="s">
        <v>11</v>
      </c>
      <c r="Z6" s="161" t="s">
        <v>44</v>
      </c>
      <c r="AA6" s="161"/>
      <c r="AB6" s="161"/>
      <c r="AC6" s="29" t="s">
        <v>35</v>
      </c>
      <c r="AD6" s="15" t="s">
        <v>231</v>
      </c>
      <c r="AE6" s="15"/>
      <c r="AF6" s="15"/>
      <c r="AG6" s="15"/>
      <c r="AH6" s="15"/>
      <c r="AI6" s="15"/>
      <c r="AJ6" s="15"/>
      <c r="AK6" s="43" t="s">
        <v>11</v>
      </c>
      <c r="AL6" s="161" t="s">
        <v>44</v>
      </c>
      <c r="AM6" s="161"/>
      <c r="AN6" s="161"/>
      <c r="AO6" s="29" t="s">
        <v>35</v>
      </c>
      <c r="AP6" s="15">
        <f>'komposisi tim'!B12</f>
        <v>0</v>
      </c>
      <c r="AQ6" s="15"/>
      <c r="AR6" s="15"/>
      <c r="AS6" s="15"/>
      <c r="AT6" s="15"/>
      <c r="AU6" s="15"/>
      <c r="AV6" s="15"/>
      <c r="AW6" s="43" t="s">
        <v>11</v>
      </c>
      <c r="AX6" s="161" t="s">
        <v>44</v>
      </c>
      <c r="AY6" s="161"/>
      <c r="AZ6" s="161"/>
      <c r="BA6" s="29" t="s">
        <v>35</v>
      </c>
      <c r="BB6" s="15" t="s">
        <v>225</v>
      </c>
      <c r="BC6" s="15"/>
      <c r="BD6" s="15"/>
      <c r="BE6" s="15"/>
      <c r="BF6" s="15"/>
      <c r="BG6" s="15"/>
      <c r="BH6" s="15"/>
      <c r="BI6" s="43" t="s">
        <v>11</v>
      </c>
      <c r="BJ6" s="161" t="s">
        <v>44</v>
      </c>
      <c r="BK6" s="161"/>
      <c r="BL6" s="161"/>
      <c r="BM6" s="29" t="s">
        <v>35</v>
      </c>
      <c r="BN6" s="15"/>
      <c r="BO6" s="15"/>
      <c r="BP6" s="15"/>
      <c r="BQ6" s="15"/>
      <c r="BR6" s="15"/>
      <c r="BS6" s="15"/>
      <c r="BT6" s="15"/>
    </row>
    <row r="7" spans="1:72" ht="15" customHeight="1" x14ac:dyDescent="0.3">
      <c r="A7" s="43" t="s">
        <v>14</v>
      </c>
      <c r="B7" s="41" t="s">
        <v>62</v>
      </c>
      <c r="C7" s="41"/>
      <c r="D7" s="41"/>
      <c r="E7" s="29" t="s">
        <v>35</v>
      </c>
      <c r="F7" s="15" t="s">
        <v>228</v>
      </c>
      <c r="M7" s="43" t="s">
        <v>14</v>
      </c>
      <c r="N7" s="161" t="s">
        <v>62</v>
      </c>
      <c r="O7" s="161"/>
      <c r="P7" s="161"/>
      <c r="Q7" s="29" t="s">
        <v>35</v>
      </c>
      <c r="R7" s="15" t="s">
        <v>229</v>
      </c>
      <c r="S7" s="15"/>
      <c r="T7" s="15"/>
      <c r="U7" s="15"/>
      <c r="V7" s="15"/>
      <c r="W7" s="15"/>
      <c r="X7" s="15"/>
      <c r="Y7" s="43" t="s">
        <v>14</v>
      </c>
      <c r="Z7" s="161" t="s">
        <v>62</v>
      </c>
      <c r="AA7" s="161"/>
      <c r="AB7" s="161"/>
      <c r="AC7" s="29" t="s">
        <v>35</v>
      </c>
      <c r="AD7" s="15" t="s">
        <v>232</v>
      </c>
      <c r="AE7" s="15"/>
      <c r="AF7" s="15"/>
      <c r="AG7" s="15"/>
      <c r="AH7" s="15"/>
      <c r="AI7" s="15"/>
      <c r="AJ7" s="15"/>
      <c r="AK7" s="43" t="s">
        <v>14</v>
      </c>
      <c r="AL7" s="161" t="s">
        <v>62</v>
      </c>
      <c r="AM7" s="161"/>
      <c r="AN7" s="161"/>
      <c r="AO7" s="29" t="s">
        <v>35</v>
      </c>
      <c r="AP7" s="15" t="s">
        <v>247</v>
      </c>
      <c r="AQ7" s="15"/>
      <c r="AR7" s="15"/>
      <c r="AS7" s="15"/>
      <c r="AT7" s="15"/>
      <c r="AU7" s="15"/>
      <c r="AV7" s="15"/>
      <c r="AW7" s="43" t="s">
        <v>14</v>
      </c>
      <c r="AX7" s="161" t="s">
        <v>62</v>
      </c>
      <c r="AY7" s="161"/>
      <c r="AZ7" s="161"/>
      <c r="BA7" s="29" t="s">
        <v>35</v>
      </c>
      <c r="BB7" s="15" t="s">
        <v>235</v>
      </c>
      <c r="BC7" s="15"/>
      <c r="BD7" s="15"/>
      <c r="BE7" s="15"/>
      <c r="BF7" s="15"/>
      <c r="BG7" s="15"/>
      <c r="BH7" s="15"/>
      <c r="BI7" s="43" t="s">
        <v>14</v>
      </c>
      <c r="BJ7" s="161" t="s">
        <v>62</v>
      </c>
      <c r="BK7" s="161"/>
      <c r="BL7" s="161"/>
      <c r="BM7" s="29" t="s">
        <v>35</v>
      </c>
      <c r="BN7" s="15"/>
      <c r="BO7" s="15"/>
      <c r="BP7" s="15"/>
      <c r="BQ7" s="15"/>
      <c r="BR7" s="15"/>
      <c r="BS7" s="15"/>
      <c r="BT7" s="15"/>
    </row>
    <row r="8" spans="1:72" ht="15" customHeight="1" x14ac:dyDescent="0.3">
      <c r="A8" s="43" t="s">
        <v>15</v>
      </c>
      <c r="B8" s="41" t="s">
        <v>63</v>
      </c>
      <c r="C8" s="41"/>
      <c r="D8" s="41"/>
      <c r="E8" s="29"/>
      <c r="M8" s="43" t="s">
        <v>15</v>
      </c>
      <c r="N8" s="161" t="s">
        <v>63</v>
      </c>
      <c r="O8" s="161"/>
      <c r="P8" s="161"/>
      <c r="Q8" s="29"/>
      <c r="R8" s="15"/>
      <c r="S8" s="15"/>
      <c r="T8" s="15"/>
      <c r="U8" s="15"/>
      <c r="V8" s="15"/>
      <c r="W8" s="15"/>
      <c r="X8" s="15"/>
      <c r="Y8" s="43" t="s">
        <v>15</v>
      </c>
      <c r="Z8" s="161" t="s">
        <v>63</v>
      </c>
      <c r="AA8" s="161"/>
      <c r="AB8" s="161"/>
      <c r="AC8" s="29"/>
      <c r="AD8" s="15"/>
      <c r="AE8" s="15"/>
      <c r="AF8" s="15"/>
      <c r="AG8" s="15"/>
      <c r="AH8" s="15"/>
      <c r="AI8" s="15"/>
      <c r="AJ8" s="15"/>
      <c r="AK8" s="43" t="s">
        <v>15</v>
      </c>
      <c r="AL8" s="161" t="s">
        <v>63</v>
      </c>
      <c r="AM8" s="161"/>
      <c r="AN8" s="161"/>
      <c r="AO8" s="29"/>
      <c r="AP8" s="15"/>
      <c r="AQ8" s="15"/>
      <c r="AR8" s="15"/>
      <c r="AS8" s="15"/>
      <c r="AT8" s="15"/>
      <c r="AU8" s="15"/>
      <c r="AV8" s="15"/>
      <c r="AW8" s="43" t="s">
        <v>15</v>
      </c>
      <c r="AX8" s="161" t="s">
        <v>63</v>
      </c>
      <c r="AY8" s="161"/>
      <c r="AZ8" s="161"/>
      <c r="BA8" s="29"/>
      <c r="BB8" s="15"/>
      <c r="BC8" s="15"/>
      <c r="BD8" s="15"/>
      <c r="BE8" s="15"/>
      <c r="BF8" s="15"/>
      <c r="BG8" s="15"/>
      <c r="BH8" s="15"/>
      <c r="BI8" s="43" t="s">
        <v>15</v>
      </c>
      <c r="BJ8" s="161" t="s">
        <v>63</v>
      </c>
      <c r="BK8" s="161"/>
      <c r="BL8" s="161"/>
      <c r="BM8" s="29"/>
      <c r="BN8" s="15"/>
      <c r="BO8" s="15"/>
      <c r="BP8" s="15"/>
      <c r="BQ8" s="15"/>
      <c r="BR8" s="15"/>
      <c r="BS8" s="15"/>
      <c r="BT8" s="15"/>
    </row>
    <row r="9" spans="1:72" ht="15" customHeight="1" x14ac:dyDescent="0.3">
      <c r="A9" s="43" t="s">
        <v>64</v>
      </c>
      <c r="B9" s="41" t="s">
        <v>65</v>
      </c>
      <c r="C9" s="41"/>
      <c r="D9" s="41"/>
      <c r="E9" s="29"/>
      <c r="M9" s="43" t="s">
        <v>64</v>
      </c>
      <c r="N9" s="161" t="s">
        <v>65</v>
      </c>
      <c r="O9" s="161"/>
      <c r="P9" s="161"/>
      <c r="Q9" s="29"/>
      <c r="R9" s="15"/>
      <c r="S9" s="15"/>
      <c r="T9" s="15"/>
      <c r="U9" s="15"/>
      <c r="V9" s="15"/>
      <c r="W9" s="15"/>
      <c r="X9" s="15"/>
      <c r="Y9" s="43" t="s">
        <v>64</v>
      </c>
      <c r="Z9" s="161" t="s">
        <v>65</v>
      </c>
      <c r="AA9" s="161"/>
      <c r="AB9" s="161"/>
      <c r="AC9" s="29"/>
      <c r="AE9" s="15"/>
      <c r="AF9" s="15"/>
      <c r="AG9" s="15"/>
      <c r="AH9" s="15"/>
      <c r="AI9" s="15"/>
      <c r="AJ9" s="15"/>
      <c r="AK9" s="43" t="s">
        <v>64</v>
      </c>
      <c r="AL9" s="161" t="s">
        <v>65</v>
      </c>
      <c r="AM9" s="161"/>
      <c r="AN9" s="161"/>
      <c r="AO9" s="29"/>
      <c r="AP9" s="15"/>
      <c r="AQ9" s="15"/>
      <c r="AR9" s="15"/>
      <c r="AS9" s="15"/>
      <c r="AT9" s="15"/>
      <c r="AU9" s="15"/>
      <c r="AV9" s="15"/>
      <c r="AW9" s="43" t="s">
        <v>64</v>
      </c>
      <c r="AX9" s="161" t="s">
        <v>65</v>
      </c>
      <c r="AY9" s="161"/>
      <c r="AZ9" s="161"/>
      <c r="BA9" s="29"/>
      <c r="BB9" s="15"/>
      <c r="BC9" s="15"/>
      <c r="BD9" s="15"/>
      <c r="BE9" s="15"/>
      <c r="BF9" s="15"/>
      <c r="BG9" s="15"/>
      <c r="BH9" s="15"/>
      <c r="BI9" s="43" t="s">
        <v>64</v>
      </c>
      <c r="BJ9" s="161" t="s">
        <v>65</v>
      </c>
      <c r="BK9" s="161"/>
      <c r="BL9" s="161"/>
      <c r="BM9" s="29"/>
      <c r="BN9" s="15"/>
      <c r="BO9" s="15"/>
      <c r="BP9" s="15"/>
      <c r="BQ9" s="15"/>
      <c r="BR9" s="15"/>
      <c r="BS9" s="15"/>
      <c r="BT9" s="15"/>
    </row>
    <row r="10" spans="1:72" ht="15" customHeight="1" x14ac:dyDescent="0.3">
      <c r="B10" s="41" t="s">
        <v>66</v>
      </c>
      <c r="C10" s="41"/>
      <c r="D10" s="41"/>
      <c r="E10" s="29" t="s">
        <v>35</v>
      </c>
      <c r="F10" s="15" t="s">
        <v>204</v>
      </c>
      <c r="N10" s="161" t="s">
        <v>66</v>
      </c>
      <c r="O10" s="161"/>
      <c r="P10" s="161"/>
      <c r="Q10" s="29" t="s">
        <v>35</v>
      </c>
      <c r="R10" s="15" t="s">
        <v>230</v>
      </c>
      <c r="S10" s="15"/>
      <c r="T10" s="15"/>
      <c r="U10" s="15"/>
      <c r="V10" s="15"/>
      <c r="W10" s="15"/>
      <c r="X10" s="15"/>
      <c r="Y10" s="15"/>
      <c r="Z10" s="161" t="s">
        <v>66</v>
      </c>
      <c r="AA10" s="161"/>
      <c r="AB10" s="161"/>
      <c r="AC10" s="29" t="s">
        <v>35</v>
      </c>
      <c r="AD10" s="15" t="s">
        <v>233</v>
      </c>
      <c r="AE10" s="15"/>
      <c r="AF10" s="15"/>
      <c r="AG10" s="15"/>
      <c r="AH10" s="15"/>
      <c r="AI10" s="15"/>
      <c r="AJ10" s="15"/>
      <c r="AK10" s="15"/>
      <c r="AL10" s="161" t="s">
        <v>66</v>
      </c>
      <c r="AM10" s="161"/>
      <c r="AN10" s="161"/>
      <c r="AO10" s="29" t="s">
        <v>35</v>
      </c>
      <c r="AP10" s="15" t="s">
        <v>248</v>
      </c>
      <c r="AQ10" s="15"/>
      <c r="AR10" s="15"/>
      <c r="AS10" s="15"/>
      <c r="AT10" s="15"/>
      <c r="AU10" s="15"/>
      <c r="AV10" s="15"/>
      <c r="AW10" s="15"/>
      <c r="AX10" s="161" t="s">
        <v>66</v>
      </c>
      <c r="AY10" s="161"/>
      <c r="AZ10" s="161"/>
      <c r="BA10" s="29" t="s">
        <v>35</v>
      </c>
      <c r="BB10" s="15" t="s">
        <v>236</v>
      </c>
      <c r="BC10" s="15"/>
      <c r="BD10" s="15"/>
      <c r="BE10" s="15"/>
      <c r="BF10" s="15"/>
      <c r="BG10" s="15"/>
      <c r="BH10" s="15"/>
      <c r="BI10" s="15"/>
      <c r="BJ10" s="161" t="s">
        <v>66</v>
      </c>
      <c r="BK10" s="161"/>
      <c r="BL10" s="161"/>
      <c r="BM10" s="29" t="s">
        <v>35</v>
      </c>
      <c r="BN10" s="15"/>
      <c r="BO10" s="15"/>
      <c r="BP10" s="15"/>
      <c r="BQ10" s="15"/>
      <c r="BR10" s="15"/>
      <c r="BS10" s="15"/>
      <c r="BT10" s="15"/>
    </row>
    <row r="11" spans="1:72" ht="15" customHeight="1" x14ac:dyDescent="0.3">
      <c r="A11" s="43" t="s">
        <v>16</v>
      </c>
      <c r="B11" s="41" t="s">
        <v>67</v>
      </c>
      <c r="C11" s="41"/>
      <c r="D11" s="41"/>
      <c r="E11" s="29" t="s">
        <v>35</v>
      </c>
      <c r="F11" s="15" t="s">
        <v>202</v>
      </c>
      <c r="M11" s="43" t="s">
        <v>16</v>
      </c>
      <c r="N11" s="161" t="s">
        <v>67</v>
      </c>
      <c r="O11" s="161"/>
      <c r="P11" s="161"/>
      <c r="Q11" s="29" t="s">
        <v>35</v>
      </c>
      <c r="R11" s="15" t="str">
        <f>F11</f>
        <v>Pelatihan Asosiasi Tenaga Ahli Konstruksi Indonesia</v>
      </c>
      <c r="S11" s="15"/>
      <c r="T11" s="15"/>
      <c r="U11" s="15"/>
      <c r="V11" s="15"/>
      <c r="W11" s="15"/>
      <c r="X11" s="15"/>
      <c r="Y11" s="43" t="s">
        <v>16</v>
      </c>
      <c r="Z11" s="161" t="s">
        <v>67</v>
      </c>
      <c r="AA11" s="161"/>
      <c r="AB11" s="161"/>
      <c r="AC11" s="29" t="s">
        <v>35</v>
      </c>
      <c r="AD11" s="15" t="s">
        <v>203</v>
      </c>
      <c r="AE11" s="15"/>
      <c r="AF11" s="15"/>
      <c r="AG11" s="15"/>
      <c r="AH11" s="15"/>
      <c r="AI11" s="15"/>
      <c r="AJ11" s="15"/>
      <c r="AK11" s="43" t="s">
        <v>16</v>
      </c>
      <c r="AL11" s="161" t="s">
        <v>67</v>
      </c>
      <c r="AM11" s="161"/>
      <c r="AN11" s="161"/>
      <c r="AO11" s="29" t="s">
        <v>35</v>
      </c>
      <c r="AP11" s="15" t="str">
        <f>AD11</f>
        <v>Pelatihan Ikatan Arsitek Indonesia</v>
      </c>
      <c r="AQ11" s="15"/>
      <c r="AR11" s="15"/>
      <c r="AS11" s="15"/>
      <c r="AT11" s="15"/>
      <c r="AU11" s="15"/>
      <c r="AV11" s="15"/>
      <c r="AW11" s="43" t="s">
        <v>16</v>
      </c>
      <c r="AX11" s="161" t="s">
        <v>67</v>
      </c>
      <c r="AY11" s="161"/>
      <c r="AZ11" s="161"/>
      <c r="BA11" s="29" t="s">
        <v>35</v>
      </c>
      <c r="BB11" s="15" t="s">
        <v>222</v>
      </c>
      <c r="BC11" s="15"/>
      <c r="BD11" s="15"/>
      <c r="BE11" s="15"/>
      <c r="BF11" s="15"/>
      <c r="BG11" s="15"/>
      <c r="BH11" s="15"/>
      <c r="BI11" s="43" t="s">
        <v>16</v>
      </c>
      <c r="BJ11" s="161" t="s">
        <v>67</v>
      </c>
      <c r="BK11" s="161"/>
      <c r="BL11" s="161"/>
      <c r="BM11" s="29" t="s">
        <v>35</v>
      </c>
      <c r="BN11" s="15"/>
      <c r="BO11" s="15"/>
      <c r="BP11" s="15"/>
      <c r="BQ11" s="15"/>
      <c r="BR11" s="15"/>
      <c r="BS11" s="15"/>
      <c r="BT11" s="15"/>
    </row>
    <row r="12" spans="1:72" ht="15" customHeight="1" x14ac:dyDescent="0.3">
      <c r="A12" s="43" t="s">
        <v>17</v>
      </c>
      <c r="B12" s="41" t="s">
        <v>68</v>
      </c>
      <c r="C12" s="41"/>
      <c r="D12" s="41"/>
      <c r="E12" s="29"/>
      <c r="M12" s="43" t="s">
        <v>17</v>
      </c>
      <c r="N12" s="161" t="s">
        <v>68</v>
      </c>
      <c r="O12" s="161"/>
      <c r="P12" s="161"/>
      <c r="Q12" s="29"/>
      <c r="R12" s="15"/>
      <c r="S12" s="15"/>
      <c r="T12" s="15"/>
      <c r="U12" s="15"/>
      <c r="V12" s="15"/>
      <c r="W12" s="15"/>
      <c r="X12" s="15"/>
      <c r="Y12" s="43" t="s">
        <v>17</v>
      </c>
      <c r="Z12" s="161" t="s">
        <v>68</v>
      </c>
      <c r="AA12" s="161"/>
      <c r="AB12" s="161"/>
      <c r="AC12" s="29"/>
      <c r="AD12" s="15"/>
      <c r="AE12" s="15"/>
      <c r="AF12" s="15"/>
      <c r="AG12" s="15"/>
      <c r="AH12" s="15"/>
      <c r="AI12" s="15"/>
      <c r="AJ12" s="15"/>
      <c r="AK12" s="43" t="s">
        <v>17</v>
      </c>
      <c r="AL12" s="161" t="s">
        <v>68</v>
      </c>
      <c r="AM12" s="161"/>
      <c r="AN12" s="161"/>
      <c r="AO12" s="29"/>
      <c r="AP12" s="15"/>
      <c r="AQ12" s="15"/>
      <c r="AR12" s="15"/>
      <c r="AS12" s="15"/>
      <c r="AT12" s="15"/>
      <c r="AU12" s="15"/>
      <c r="AV12" s="15"/>
      <c r="AW12" s="43" t="s">
        <v>17</v>
      </c>
      <c r="AX12" s="161" t="s">
        <v>68</v>
      </c>
      <c r="AY12" s="161"/>
      <c r="AZ12" s="161"/>
      <c r="BA12" s="29"/>
      <c r="BB12" s="15"/>
      <c r="BC12" s="15"/>
      <c r="BD12" s="15"/>
      <c r="BE12" s="15"/>
      <c r="BF12" s="15"/>
      <c r="BG12" s="15"/>
      <c r="BH12" s="15"/>
      <c r="BI12" s="43" t="s">
        <v>17</v>
      </c>
      <c r="BJ12" s="161" t="s">
        <v>68</v>
      </c>
      <c r="BK12" s="161"/>
      <c r="BL12" s="161"/>
      <c r="BM12" s="29"/>
      <c r="BN12" s="15"/>
      <c r="BO12" s="15"/>
      <c r="BP12" s="15"/>
      <c r="BQ12" s="15"/>
      <c r="BR12" s="15"/>
      <c r="BS12" s="15"/>
      <c r="BT12" s="15"/>
    </row>
    <row r="13" spans="1:72" ht="15" customHeight="1" x14ac:dyDescent="0.3">
      <c r="A13" s="43" t="s">
        <v>69</v>
      </c>
      <c r="B13" s="41" t="s">
        <v>72</v>
      </c>
      <c r="C13" s="41"/>
      <c r="D13" s="41"/>
      <c r="E13" s="29" t="s">
        <v>35</v>
      </c>
      <c r="F13" s="15" t="s">
        <v>201</v>
      </c>
      <c r="M13" s="43" t="s">
        <v>69</v>
      </c>
      <c r="N13" s="161" t="s">
        <v>72</v>
      </c>
      <c r="O13" s="161"/>
      <c r="P13" s="161"/>
      <c r="Q13" s="29" t="s">
        <v>35</v>
      </c>
      <c r="R13" s="15" t="s">
        <v>201</v>
      </c>
      <c r="S13" s="15"/>
      <c r="T13" s="15"/>
      <c r="U13" s="15"/>
      <c r="V13" s="15"/>
      <c r="W13" s="15"/>
      <c r="X13" s="15"/>
      <c r="Y13" s="43" t="s">
        <v>69</v>
      </c>
      <c r="Z13" s="161" t="s">
        <v>72</v>
      </c>
      <c r="AA13" s="161"/>
      <c r="AB13" s="161"/>
      <c r="AC13" s="29" t="s">
        <v>35</v>
      </c>
      <c r="AD13" s="15" t="s">
        <v>201</v>
      </c>
      <c r="AE13" s="15"/>
      <c r="AF13" s="15"/>
      <c r="AG13" s="15"/>
      <c r="AH13" s="15"/>
      <c r="AI13" s="15"/>
      <c r="AJ13" s="15"/>
      <c r="AK13" s="43" t="s">
        <v>69</v>
      </c>
      <c r="AL13" s="161" t="s">
        <v>72</v>
      </c>
      <c r="AM13" s="161"/>
      <c r="AN13" s="161"/>
      <c r="AO13" s="29" t="s">
        <v>35</v>
      </c>
      <c r="AP13" s="15" t="s">
        <v>201</v>
      </c>
      <c r="AQ13" s="15"/>
      <c r="AR13" s="15"/>
      <c r="AS13" s="15"/>
      <c r="AT13" s="15"/>
      <c r="AU13" s="15"/>
      <c r="AV13" s="15"/>
      <c r="AW13" s="43" t="s">
        <v>69</v>
      </c>
      <c r="AX13" s="161" t="s">
        <v>72</v>
      </c>
      <c r="AY13" s="161"/>
      <c r="AZ13" s="161"/>
      <c r="BA13" s="29" t="s">
        <v>35</v>
      </c>
      <c r="BB13" s="15" t="str">
        <f>AP13</f>
        <v>Baik</v>
      </c>
      <c r="BC13" s="15"/>
      <c r="BD13" s="15"/>
      <c r="BE13" s="15"/>
      <c r="BF13" s="15"/>
      <c r="BG13" s="15"/>
      <c r="BH13" s="15"/>
      <c r="BI13" s="43" t="s">
        <v>69</v>
      </c>
      <c r="BJ13" s="161" t="s">
        <v>72</v>
      </c>
      <c r="BK13" s="161"/>
      <c r="BL13" s="161"/>
      <c r="BM13" s="29" t="s">
        <v>35</v>
      </c>
      <c r="BN13" s="15"/>
      <c r="BO13" s="15"/>
      <c r="BP13" s="15"/>
      <c r="BQ13" s="15"/>
      <c r="BR13" s="15"/>
      <c r="BS13" s="15"/>
      <c r="BT13" s="15"/>
    </row>
    <row r="14" spans="1:72" ht="15" customHeight="1" x14ac:dyDescent="0.3">
      <c r="A14" s="43" t="s">
        <v>18</v>
      </c>
      <c r="B14" s="45" t="s">
        <v>81</v>
      </c>
      <c r="C14" s="45"/>
      <c r="D14" s="45"/>
      <c r="E14" s="29"/>
      <c r="M14" s="43" t="s">
        <v>18</v>
      </c>
      <c r="N14" s="214" t="s">
        <v>81</v>
      </c>
      <c r="O14" s="214"/>
      <c r="P14" s="214"/>
      <c r="Q14" s="29"/>
      <c r="R14" s="15"/>
      <c r="S14" s="15"/>
      <c r="T14" s="15"/>
      <c r="U14" s="15"/>
      <c r="V14" s="15"/>
      <c r="W14" s="15"/>
      <c r="X14" s="15"/>
      <c r="Y14" s="43" t="s">
        <v>18</v>
      </c>
      <c r="Z14" s="214" t="s">
        <v>81</v>
      </c>
      <c r="AA14" s="214"/>
      <c r="AB14" s="214"/>
      <c r="AC14" s="29"/>
      <c r="AD14" s="15"/>
      <c r="AE14" s="15"/>
      <c r="AF14" s="15"/>
      <c r="AG14" s="15"/>
      <c r="AH14" s="15"/>
      <c r="AI14" s="15"/>
      <c r="AJ14" s="15"/>
      <c r="AK14" s="43" t="s">
        <v>18</v>
      </c>
      <c r="AL14" s="214" t="s">
        <v>81</v>
      </c>
      <c r="AM14" s="214"/>
      <c r="AN14" s="214"/>
      <c r="AO14" s="29"/>
      <c r="AP14" s="15"/>
      <c r="AQ14" s="15"/>
      <c r="AR14" s="15"/>
      <c r="AS14" s="15"/>
      <c r="AT14" s="15"/>
      <c r="AU14" s="15"/>
      <c r="AV14" s="15"/>
      <c r="AW14" s="43" t="s">
        <v>18</v>
      </c>
      <c r="AX14" s="214" t="s">
        <v>81</v>
      </c>
      <c r="AY14" s="214"/>
      <c r="AZ14" s="214"/>
      <c r="BA14" s="29"/>
      <c r="BB14" s="15"/>
      <c r="BC14" s="15"/>
      <c r="BD14" s="15"/>
      <c r="BE14" s="15"/>
      <c r="BF14" s="15"/>
      <c r="BG14" s="15"/>
      <c r="BH14" s="15"/>
      <c r="BI14" s="43" t="s">
        <v>18</v>
      </c>
      <c r="BJ14" s="214" t="s">
        <v>81</v>
      </c>
      <c r="BK14" s="214"/>
      <c r="BL14" s="214"/>
      <c r="BM14" s="29"/>
      <c r="BN14" s="15"/>
      <c r="BO14" s="15"/>
      <c r="BP14" s="15"/>
      <c r="BQ14" s="15"/>
      <c r="BR14" s="15"/>
      <c r="BS14" s="15"/>
      <c r="BT14" s="15"/>
    </row>
    <row r="15" spans="1:72" ht="15" customHeight="1" x14ac:dyDescent="0.3">
      <c r="A15" s="43" t="s">
        <v>70</v>
      </c>
      <c r="B15" s="41" t="s">
        <v>82</v>
      </c>
      <c r="C15" s="41"/>
      <c r="D15" s="41">
        <v>2011</v>
      </c>
      <c r="E15" s="29"/>
      <c r="M15" s="43" t="s">
        <v>70</v>
      </c>
      <c r="N15" s="161" t="s">
        <v>82</v>
      </c>
      <c r="O15" s="161"/>
      <c r="P15" s="41">
        <v>2011</v>
      </c>
      <c r="Q15" s="29"/>
      <c r="R15" s="15"/>
      <c r="S15" s="15"/>
      <c r="T15" s="15"/>
      <c r="U15" s="15"/>
      <c r="V15" s="15"/>
      <c r="W15" s="15"/>
      <c r="X15" s="15"/>
      <c r="Y15" s="43" t="s">
        <v>70</v>
      </c>
      <c r="Z15" s="161" t="s">
        <v>82</v>
      </c>
      <c r="AA15" s="161"/>
      <c r="AB15" s="41">
        <v>2011</v>
      </c>
      <c r="AC15" s="29"/>
      <c r="AD15" s="15"/>
      <c r="AE15" s="15"/>
      <c r="AF15" s="15"/>
      <c r="AG15" s="15"/>
      <c r="AH15" s="15"/>
      <c r="AI15" s="15"/>
      <c r="AJ15" s="15"/>
      <c r="AK15" s="43" t="s">
        <v>70</v>
      </c>
      <c r="AL15" s="161" t="s">
        <v>82</v>
      </c>
      <c r="AM15" s="161"/>
      <c r="AN15" s="41">
        <v>2011</v>
      </c>
      <c r="AO15" s="29"/>
      <c r="AP15" s="15"/>
      <c r="AQ15" s="15"/>
      <c r="AR15" s="15"/>
      <c r="AS15" s="15"/>
      <c r="AT15" s="15"/>
      <c r="AU15" s="15"/>
      <c r="AV15" s="15"/>
      <c r="AW15" s="43" t="s">
        <v>70</v>
      </c>
      <c r="AX15" s="161" t="s">
        <v>82</v>
      </c>
      <c r="AY15" s="161"/>
      <c r="AZ15" s="41">
        <v>2011</v>
      </c>
      <c r="BA15" s="29"/>
      <c r="BB15" s="15"/>
      <c r="BC15" s="15"/>
      <c r="BD15" s="15"/>
      <c r="BE15" s="15"/>
      <c r="BF15" s="15"/>
      <c r="BG15" s="15"/>
      <c r="BH15" s="15"/>
      <c r="BI15" s="43" t="s">
        <v>70</v>
      </c>
      <c r="BJ15" s="161" t="s">
        <v>82</v>
      </c>
      <c r="BK15" s="161"/>
      <c r="BL15" s="41">
        <v>2011</v>
      </c>
      <c r="BM15" s="29"/>
      <c r="BN15" s="15"/>
      <c r="BO15" s="15"/>
      <c r="BP15" s="15"/>
      <c r="BQ15" s="15"/>
      <c r="BR15" s="15"/>
      <c r="BS15" s="15"/>
      <c r="BT15" s="15"/>
    </row>
    <row r="16" spans="1:72" ht="15" customHeight="1" x14ac:dyDescent="0.3">
      <c r="B16" s="43" t="s">
        <v>28</v>
      </c>
      <c r="C16" s="42" t="s">
        <v>71</v>
      </c>
      <c r="D16" s="42"/>
      <c r="E16" s="29" t="s">
        <v>35</v>
      </c>
      <c r="F16" s="15" t="s">
        <v>237</v>
      </c>
      <c r="N16" s="43" t="s">
        <v>28</v>
      </c>
      <c r="O16" s="212" t="s">
        <v>71</v>
      </c>
      <c r="P16" s="212"/>
      <c r="Q16" s="29" t="s">
        <v>35</v>
      </c>
      <c r="R16" s="15" t="str">
        <f>F16</f>
        <v>Perencanaan Teknis Peningkatan Jalan Hi. Hayun</v>
      </c>
      <c r="S16" s="15"/>
      <c r="T16" s="15"/>
      <c r="U16" s="15"/>
      <c r="V16" s="15"/>
      <c r="W16" s="15"/>
      <c r="X16" s="15"/>
      <c r="Y16" s="15"/>
      <c r="Z16" s="43" t="s">
        <v>28</v>
      </c>
      <c r="AA16" s="212" t="s">
        <v>71</v>
      </c>
      <c r="AB16" s="212"/>
      <c r="AC16" s="29" t="s">
        <v>35</v>
      </c>
      <c r="AD16" s="15" t="str">
        <f>R16</f>
        <v>Perencanaan Teknis Peningkatan Jalan Hi. Hayun</v>
      </c>
      <c r="AE16" s="15"/>
      <c r="AF16" s="15"/>
      <c r="AG16" s="15"/>
      <c r="AH16" s="15"/>
      <c r="AI16" s="15"/>
      <c r="AJ16" s="15"/>
      <c r="AK16" s="15"/>
      <c r="AL16" s="43" t="s">
        <v>28</v>
      </c>
      <c r="AM16" s="212" t="s">
        <v>71</v>
      </c>
      <c r="AN16" s="212"/>
      <c r="AO16" s="29" t="s">
        <v>35</v>
      </c>
      <c r="AP16" s="15" t="str">
        <f>AD16</f>
        <v>Perencanaan Teknis Peningkatan Jalan Hi. Hayun</v>
      </c>
      <c r="AQ16" s="15"/>
      <c r="AR16" s="15"/>
      <c r="AS16" s="15"/>
      <c r="AT16" s="15"/>
      <c r="AU16" s="15"/>
      <c r="AV16" s="15"/>
      <c r="AW16" s="15"/>
      <c r="AX16" s="43" t="s">
        <v>28</v>
      </c>
      <c r="AY16" s="212" t="s">
        <v>71</v>
      </c>
      <c r="AZ16" s="212"/>
      <c r="BA16" s="29" t="s">
        <v>35</v>
      </c>
      <c r="BB16" s="15" t="str">
        <f t="shared" ref="BB16:BB77" si="0">AP16</f>
        <v>Perencanaan Teknis Peningkatan Jalan Hi. Hayun</v>
      </c>
      <c r="BC16" s="15"/>
      <c r="BD16" s="15"/>
      <c r="BE16" s="15"/>
      <c r="BF16" s="15"/>
      <c r="BG16" s="15"/>
      <c r="BH16" s="15"/>
      <c r="BI16" s="15"/>
      <c r="BJ16" s="43" t="s">
        <v>28</v>
      </c>
      <c r="BK16" s="212" t="s">
        <v>71</v>
      </c>
      <c r="BL16" s="212"/>
      <c r="BM16" s="29" t="s">
        <v>35</v>
      </c>
      <c r="BN16" s="15"/>
      <c r="BO16" s="15"/>
      <c r="BP16" s="15"/>
      <c r="BQ16" s="15"/>
      <c r="BR16" s="15"/>
      <c r="BS16" s="15"/>
      <c r="BT16" s="15"/>
    </row>
    <row r="17" spans="1:72" ht="15" customHeight="1" x14ac:dyDescent="0.3">
      <c r="B17" s="43" t="s">
        <v>73</v>
      </c>
      <c r="C17" s="42" t="s">
        <v>21</v>
      </c>
      <c r="D17" s="42"/>
      <c r="E17" s="29" t="s">
        <v>35</v>
      </c>
      <c r="F17" s="15" t="s">
        <v>238</v>
      </c>
      <c r="N17" s="43" t="s">
        <v>73</v>
      </c>
      <c r="O17" s="212" t="s">
        <v>21</v>
      </c>
      <c r="P17" s="212"/>
      <c r="Q17" s="29" t="s">
        <v>35</v>
      </c>
      <c r="R17" s="15" t="str">
        <f>F17</f>
        <v>Kab. Tolitoli</v>
      </c>
      <c r="S17" s="15"/>
      <c r="T17" s="15"/>
      <c r="U17" s="15"/>
      <c r="V17" s="15"/>
      <c r="W17" s="15"/>
      <c r="X17" s="15"/>
      <c r="Y17" s="15"/>
      <c r="Z17" s="43" t="s">
        <v>73</v>
      </c>
      <c r="AA17" s="212" t="s">
        <v>21</v>
      </c>
      <c r="AB17" s="212"/>
      <c r="AC17" s="29" t="s">
        <v>35</v>
      </c>
      <c r="AD17" s="15" t="str">
        <f t="shared" ref="AD17:AD88" si="1">R17</f>
        <v>Kab. Tolitoli</v>
      </c>
      <c r="AE17" s="15"/>
      <c r="AF17" s="15"/>
      <c r="AG17" s="15"/>
      <c r="AH17" s="15"/>
      <c r="AI17" s="15"/>
      <c r="AJ17" s="15"/>
      <c r="AK17" s="15"/>
      <c r="AL17" s="43" t="s">
        <v>73</v>
      </c>
      <c r="AM17" s="212" t="s">
        <v>21</v>
      </c>
      <c r="AN17" s="212"/>
      <c r="AO17" s="29" t="s">
        <v>35</v>
      </c>
      <c r="AP17" s="15" t="str">
        <f t="shared" ref="AP17:AP90" si="2">AD17</f>
        <v>Kab. Tolitoli</v>
      </c>
      <c r="AQ17" s="15"/>
      <c r="AR17" s="15"/>
      <c r="AS17" s="15"/>
      <c r="AT17" s="15"/>
      <c r="AU17" s="15"/>
      <c r="AV17" s="15"/>
      <c r="AW17" s="15"/>
      <c r="AX17" s="43" t="s">
        <v>73</v>
      </c>
      <c r="AY17" s="212" t="s">
        <v>21</v>
      </c>
      <c r="AZ17" s="212"/>
      <c r="BA17" s="29" t="s">
        <v>35</v>
      </c>
      <c r="BB17" s="15" t="str">
        <f t="shared" si="0"/>
        <v>Kab. Tolitoli</v>
      </c>
      <c r="BC17" s="15"/>
      <c r="BD17" s="15"/>
      <c r="BE17" s="15"/>
      <c r="BF17" s="15"/>
      <c r="BG17" s="15"/>
      <c r="BH17" s="15"/>
      <c r="BI17" s="15"/>
      <c r="BJ17" s="43" t="s">
        <v>73</v>
      </c>
      <c r="BK17" s="212" t="s">
        <v>21</v>
      </c>
      <c r="BL17" s="212"/>
      <c r="BM17" s="29" t="s">
        <v>35</v>
      </c>
      <c r="BN17" s="15"/>
      <c r="BO17" s="15"/>
      <c r="BP17" s="15"/>
      <c r="BQ17" s="15"/>
      <c r="BR17" s="15"/>
      <c r="BS17" s="15"/>
      <c r="BT17" s="15"/>
    </row>
    <row r="18" spans="1:72" ht="15" customHeight="1" x14ac:dyDescent="0.3">
      <c r="B18" s="43" t="s">
        <v>74</v>
      </c>
      <c r="C18" s="42" t="s">
        <v>83</v>
      </c>
      <c r="D18" s="42"/>
      <c r="E18" s="29" t="s">
        <v>35</v>
      </c>
      <c r="F18" s="15" t="s">
        <v>239</v>
      </c>
      <c r="N18" s="43" t="s">
        <v>74</v>
      </c>
      <c r="O18" s="212" t="s">
        <v>83</v>
      </c>
      <c r="P18" s="212"/>
      <c r="Q18" s="29" t="s">
        <v>35</v>
      </c>
      <c r="R18" s="15" t="str">
        <f t="shared" ref="R18:R25" si="3">F18</f>
        <v>Dinas PU Kab. Tolitoli</v>
      </c>
      <c r="S18" s="15"/>
      <c r="T18" s="15"/>
      <c r="U18" s="15"/>
      <c r="V18" s="15"/>
      <c r="W18" s="15"/>
      <c r="X18" s="15"/>
      <c r="Y18" s="15"/>
      <c r="Z18" s="43" t="s">
        <v>74</v>
      </c>
      <c r="AA18" s="212" t="s">
        <v>83</v>
      </c>
      <c r="AB18" s="212"/>
      <c r="AC18" s="29" t="s">
        <v>35</v>
      </c>
      <c r="AD18" s="15" t="str">
        <f t="shared" si="1"/>
        <v>Dinas PU Kab. Tolitoli</v>
      </c>
      <c r="AE18" s="15"/>
      <c r="AF18" s="15"/>
      <c r="AG18" s="15"/>
      <c r="AH18" s="15"/>
      <c r="AI18" s="15"/>
      <c r="AJ18" s="15"/>
      <c r="AK18" s="15"/>
      <c r="AL18" s="43" t="s">
        <v>74</v>
      </c>
      <c r="AM18" s="212" t="s">
        <v>83</v>
      </c>
      <c r="AN18" s="212"/>
      <c r="AO18" s="29" t="s">
        <v>35</v>
      </c>
      <c r="AP18" s="15" t="str">
        <f t="shared" si="2"/>
        <v>Dinas PU Kab. Tolitoli</v>
      </c>
      <c r="AQ18" s="15"/>
      <c r="AR18" s="15"/>
      <c r="AS18" s="15"/>
      <c r="AT18" s="15"/>
      <c r="AU18" s="15"/>
      <c r="AV18" s="15"/>
      <c r="AW18" s="15"/>
      <c r="AX18" s="43" t="s">
        <v>74</v>
      </c>
      <c r="AY18" s="212" t="s">
        <v>83</v>
      </c>
      <c r="AZ18" s="212"/>
      <c r="BA18" s="29" t="s">
        <v>35</v>
      </c>
      <c r="BB18" s="15" t="str">
        <f t="shared" si="0"/>
        <v>Dinas PU Kab. Tolitoli</v>
      </c>
      <c r="BC18" s="15"/>
      <c r="BD18" s="15"/>
      <c r="BE18" s="15"/>
      <c r="BF18" s="15"/>
      <c r="BG18" s="15"/>
      <c r="BH18" s="15"/>
      <c r="BI18" s="15"/>
      <c r="BJ18" s="43" t="s">
        <v>74</v>
      </c>
      <c r="BK18" s="212" t="s">
        <v>83</v>
      </c>
      <c r="BL18" s="212"/>
      <c r="BM18" s="29" t="s">
        <v>35</v>
      </c>
      <c r="BN18" s="15"/>
      <c r="BO18" s="15"/>
      <c r="BP18" s="15"/>
      <c r="BQ18" s="15"/>
      <c r="BR18" s="15"/>
      <c r="BS18" s="15"/>
      <c r="BT18" s="15"/>
    </row>
    <row r="19" spans="1:72" ht="15" customHeight="1" x14ac:dyDescent="0.3">
      <c r="B19" s="43" t="s">
        <v>75</v>
      </c>
      <c r="C19" s="42" t="s">
        <v>61</v>
      </c>
      <c r="D19" s="42"/>
      <c r="E19" s="29" t="s">
        <v>35</v>
      </c>
      <c r="F19" s="15" t="str">
        <f>F5</f>
        <v>CV. Adicipta Nusatama</v>
      </c>
      <c r="N19" s="43" t="s">
        <v>75</v>
      </c>
      <c r="O19" s="212" t="s">
        <v>61</v>
      </c>
      <c r="P19" s="212"/>
      <c r="Q19" s="29" t="s">
        <v>35</v>
      </c>
      <c r="R19" s="15" t="str">
        <f t="shared" si="3"/>
        <v>CV. Adicipta Nusatama</v>
      </c>
      <c r="S19" s="15"/>
      <c r="T19" s="15"/>
      <c r="U19" s="15"/>
      <c r="V19" s="15"/>
      <c r="W19" s="15"/>
      <c r="X19" s="15"/>
      <c r="Y19" s="15"/>
      <c r="Z19" s="43" t="s">
        <v>75</v>
      </c>
      <c r="AA19" s="212" t="s">
        <v>61</v>
      </c>
      <c r="AB19" s="212"/>
      <c r="AC19" s="29" t="s">
        <v>35</v>
      </c>
      <c r="AD19" s="15" t="str">
        <f t="shared" si="1"/>
        <v>CV. Adicipta Nusatama</v>
      </c>
      <c r="AE19" s="15"/>
      <c r="AF19" s="15"/>
      <c r="AG19" s="15"/>
      <c r="AH19" s="15"/>
      <c r="AI19" s="15"/>
      <c r="AJ19" s="15"/>
      <c r="AK19" s="15"/>
      <c r="AL19" s="43" t="s">
        <v>75</v>
      </c>
      <c r="AM19" s="212" t="s">
        <v>61</v>
      </c>
      <c r="AN19" s="212"/>
      <c r="AO19" s="29" t="s">
        <v>35</v>
      </c>
      <c r="AP19" s="15" t="str">
        <f t="shared" si="2"/>
        <v>CV. Adicipta Nusatama</v>
      </c>
      <c r="AQ19" s="15"/>
      <c r="AR19" s="15"/>
      <c r="AS19" s="15"/>
      <c r="AT19" s="15"/>
      <c r="AU19" s="15"/>
      <c r="AV19" s="15"/>
      <c r="AW19" s="15"/>
      <c r="AX19" s="43" t="s">
        <v>75</v>
      </c>
      <c r="AY19" s="212" t="s">
        <v>61</v>
      </c>
      <c r="AZ19" s="212"/>
      <c r="BA19" s="29" t="s">
        <v>35</v>
      </c>
      <c r="BB19" s="15" t="str">
        <f t="shared" si="0"/>
        <v>CV. Adicipta Nusatama</v>
      </c>
      <c r="BC19" s="15"/>
      <c r="BD19" s="15"/>
      <c r="BE19" s="15"/>
      <c r="BF19" s="15"/>
      <c r="BG19" s="15"/>
      <c r="BH19" s="15"/>
      <c r="BI19" s="15"/>
      <c r="BJ19" s="43" t="s">
        <v>75</v>
      </c>
      <c r="BK19" s="212" t="s">
        <v>61</v>
      </c>
      <c r="BL19" s="212"/>
      <c r="BM19" s="29" t="s">
        <v>35</v>
      </c>
      <c r="BN19" s="15"/>
      <c r="BO19" s="15"/>
      <c r="BP19" s="15"/>
      <c r="BQ19" s="15"/>
      <c r="BR19" s="15"/>
      <c r="BS19" s="15"/>
      <c r="BT19" s="15"/>
    </row>
    <row r="20" spans="1:72" s="59" customFormat="1" ht="31.5" customHeight="1" x14ac:dyDescent="0.3">
      <c r="A20" s="79"/>
      <c r="B20" s="76" t="s">
        <v>32</v>
      </c>
      <c r="C20" s="77" t="s">
        <v>84</v>
      </c>
      <c r="D20" s="77"/>
      <c r="E20" s="78" t="s">
        <v>35</v>
      </c>
      <c r="F20" s="216" t="s">
        <v>208</v>
      </c>
      <c r="G20" s="216"/>
      <c r="H20" s="216"/>
      <c r="I20" s="216"/>
      <c r="J20" s="216"/>
      <c r="K20" s="216"/>
      <c r="L20" s="216"/>
      <c r="M20" s="79"/>
      <c r="N20" s="76" t="s">
        <v>76</v>
      </c>
      <c r="O20" s="213" t="s">
        <v>84</v>
      </c>
      <c r="P20" s="213"/>
      <c r="Q20" s="78" t="s">
        <v>35</v>
      </c>
      <c r="R20" s="216" t="s">
        <v>210</v>
      </c>
      <c r="S20" s="216"/>
      <c r="T20" s="216"/>
      <c r="U20" s="216"/>
      <c r="V20" s="216"/>
      <c r="W20" s="216"/>
      <c r="X20" s="216"/>
      <c r="Y20" s="79"/>
      <c r="Z20" s="76" t="s">
        <v>215</v>
      </c>
      <c r="AA20" s="213" t="s">
        <v>84</v>
      </c>
      <c r="AB20" s="213"/>
      <c r="AC20" s="78" t="s">
        <v>35</v>
      </c>
      <c r="AD20" s="216" t="s">
        <v>210</v>
      </c>
      <c r="AE20" s="216"/>
      <c r="AF20" s="216"/>
      <c r="AG20" s="216"/>
      <c r="AH20" s="216"/>
      <c r="AI20" s="216"/>
      <c r="AJ20" s="216"/>
      <c r="AK20" s="79"/>
      <c r="AL20" s="76" t="s">
        <v>76</v>
      </c>
      <c r="AM20" s="213" t="s">
        <v>84</v>
      </c>
      <c r="AN20" s="213"/>
      <c r="AO20" s="78" t="s">
        <v>35</v>
      </c>
      <c r="AP20" s="216" t="s">
        <v>210</v>
      </c>
      <c r="AQ20" s="216"/>
      <c r="AR20" s="216"/>
      <c r="AS20" s="216"/>
      <c r="AT20" s="216"/>
      <c r="AU20" s="216"/>
      <c r="AV20" s="216"/>
      <c r="AW20" s="79"/>
      <c r="AX20" s="76" t="s">
        <v>76</v>
      </c>
      <c r="AY20" s="213" t="s">
        <v>84</v>
      </c>
      <c r="AZ20" s="213"/>
      <c r="BA20" s="78" t="s">
        <v>35</v>
      </c>
      <c r="BB20" s="216" t="s">
        <v>210</v>
      </c>
      <c r="BC20" s="216"/>
      <c r="BD20" s="216"/>
      <c r="BE20" s="216"/>
      <c r="BF20" s="216"/>
      <c r="BG20" s="216"/>
      <c r="BH20" s="216"/>
      <c r="BI20" s="79"/>
      <c r="BJ20" s="76" t="s">
        <v>76</v>
      </c>
      <c r="BK20" s="213" t="s">
        <v>84</v>
      </c>
      <c r="BL20" s="213"/>
      <c r="BM20" s="78" t="s">
        <v>35</v>
      </c>
      <c r="BN20" s="79"/>
      <c r="BO20" s="79"/>
      <c r="BP20" s="79"/>
      <c r="BQ20" s="79"/>
      <c r="BR20" s="79"/>
      <c r="BS20" s="79"/>
      <c r="BT20" s="79"/>
    </row>
    <row r="21" spans="1:72" ht="32.25" customHeight="1" x14ac:dyDescent="0.3">
      <c r="B21" s="76"/>
      <c r="C21" s="77"/>
      <c r="D21" s="77"/>
      <c r="E21" s="78"/>
      <c r="F21" s="216" t="s">
        <v>205</v>
      </c>
      <c r="G21" s="216"/>
      <c r="H21" s="216"/>
      <c r="I21" s="216"/>
      <c r="J21" s="216"/>
      <c r="K21" s="216"/>
      <c r="L21" s="216"/>
      <c r="N21" s="43"/>
      <c r="O21" s="42"/>
      <c r="P21" s="42"/>
      <c r="Q21" s="29"/>
      <c r="R21" s="216" t="s">
        <v>211</v>
      </c>
      <c r="S21" s="216"/>
      <c r="T21" s="216"/>
      <c r="U21" s="216"/>
      <c r="V21" s="216"/>
      <c r="W21" s="216"/>
      <c r="X21" s="216"/>
      <c r="Y21" s="15"/>
      <c r="Z21" s="43"/>
      <c r="AA21" s="42"/>
      <c r="AB21" s="42"/>
      <c r="AC21" s="29"/>
      <c r="AD21" s="216" t="s">
        <v>211</v>
      </c>
      <c r="AE21" s="216"/>
      <c r="AF21" s="216"/>
      <c r="AG21" s="216"/>
      <c r="AH21" s="216"/>
      <c r="AI21" s="216"/>
      <c r="AJ21" s="216"/>
      <c r="AK21" s="15"/>
      <c r="AL21" s="43"/>
      <c r="AM21" s="42"/>
      <c r="AN21" s="42"/>
      <c r="AO21" s="29"/>
      <c r="AP21" s="216" t="s">
        <v>211</v>
      </c>
      <c r="AQ21" s="216"/>
      <c r="AR21" s="216"/>
      <c r="AS21" s="216"/>
      <c r="AT21" s="216"/>
      <c r="AU21" s="216"/>
      <c r="AV21" s="216"/>
      <c r="AW21" s="15"/>
      <c r="AX21" s="43"/>
      <c r="AY21" s="42"/>
      <c r="AZ21" s="42"/>
      <c r="BA21" s="29"/>
      <c r="BB21" s="216" t="s">
        <v>211</v>
      </c>
      <c r="BC21" s="216"/>
      <c r="BD21" s="216"/>
      <c r="BE21" s="216"/>
      <c r="BF21" s="216"/>
      <c r="BG21" s="216"/>
      <c r="BH21" s="216"/>
      <c r="BI21" s="15"/>
      <c r="BJ21" s="43"/>
      <c r="BK21" s="42"/>
      <c r="BL21" s="42"/>
      <c r="BM21" s="29"/>
      <c r="BN21" s="15"/>
      <c r="BO21" s="15"/>
      <c r="BP21" s="15"/>
      <c r="BQ21" s="15"/>
      <c r="BR21" s="15"/>
      <c r="BS21" s="15"/>
      <c r="BT21" s="15"/>
    </row>
    <row r="22" spans="1:72" ht="32.25" customHeight="1" x14ac:dyDescent="0.3">
      <c r="B22" s="76"/>
      <c r="C22" s="77"/>
      <c r="D22" s="77"/>
      <c r="E22" s="78"/>
      <c r="F22" s="216" t="s">
        <v>206</v>
      </c>
      <c r="G22" s="216"/>
      <c r="H22" s="216"/>
      <c r="I22" s="216"/>
      <c r="J22" s="216"/>
      <c r="K22" s="216"/>
      <c r="L22" s="216"/>
      <c r="N22" s="43"/>
      <c r="O22" s="42"/>
      <c r="P22" s="42"/>
      <c r="Q22" s="29"/>
      <c r="R22" s="216" t="s">
        <v>212</v>
      </c>
      <c r="S22" s="216"/>
      <c r="T22" s="216"/>
      <c r="U22" s="216"/>
      <c r="V22" s="216"/>
      <c r="W22" s="216"/>
      <c r="X22" s="216"/>
      <c r="Y22" s="15"/>
      <c r="Z22" s="43"/>
      <c r="AA22" s="42"/>
      <c r="AB22" s="42"/>
      <c r="AC22" s="29"/>
      <c r="AD22" s="216" t="s">
        <v>212</v>
      </c>
      <c r="AE22" s="216"/>
      <c r="AF22" s="216"/>
      <c r="AG22" s="216"/>
      <c r="AH22" s="216"/>
      <c r="AI22" s="216"/>
      <c r="AJ22" s="216"/>
      <c r="AK22" s="15"/>
      <c r="AL22" s="43"/>
      <c r="AM22" s="42"/>
      <c r="AN22" s="42"/>
      <c r="AO22" s="29"/>
      <c r="AP22" s="216" t="s">
        <v>212</v>
      </c>
      <c r="AQ22" s="216"/>
      <c r="AR22" s="216"/>
      <c r="AS22" s="216"/>
      <c r="AT22" s="216"/>
      <c r="AU22" s="216"/>
      <c r="AV22" s="216"/>
      <c r="AW22" s="15"/>
      <c r="AX22" s="43"/>
      <c r="AY22" s="42"/>
      <c r="AZ22" s="42"/>
      <c r="BA22" s="29"/>
      <c r="BB22" s="216" t="s">
        <v>212</v>
      </c>
      <c r="BC22" s="216"/>
      <c r="BD22" s="216"/>
      <c r="BE22" s="216"/>
      <c r="BF22" s="216"/>
      <c r="BG22" s="216"/>
      <c r="BH22" s="216"/>
      <c r="BI22" s="15"/>
      <c r="BJ22" s="43"/>
      <c r="BK22" s="42"/>
      <c r="BL22" s="42"/>
      <c r="BM22" s="29"/>
      <c r="BN22" s="15"/>
      <c r="BO22" s="15"/>
      <c r="BP22" s="15"/>
      <c r="BQ22" s="15"/>
      <c r="BR22" s="15"/>
      <c r="BS22" s="15"/>
      <c r="BT22" s="15"/>
    </row>
    <row r="23" spans="1:72" ht="32.25" customHeight="1" x14ac:dyDescent="0.3">
      <c r="B23" s="76"/>
      <c r="C23" s="77"/>
      <c r="D23" s="77"/>
      <c r="E23" s="78"/>
      <c r="F23" s="216" t="s">
        <v>207</v>
      </c>
      <c r="G23" s="216"/>
      <c r="H23" s="216"/>
      <c r="I23" s="216"/>
      <c r="J23" s="216"/>
      <c r="K23" s="216"/>
      <c r="L23" s="216"/>
      <c r="N23" s="43"/>
      <c r="O23" s="42"/>
      <c r="P23" s="42"/>
      <c r="Q23" s="29"/>
      <c r="R23" s="216" t="s">
        <v>207</v>
      </c>
      <c r="S23" s="216"/>
      <c r="T23" s="216"/>
      <c r="U23" s="216"/>
      <c r="V23" s="216"/>
      <c r="W23" s="216"/>
      <c r="X23" s="216"/>
      <c r="Y23" s="15"/>
      <c r="Z23" s="43"/>
      <c r="AA23" s="42"/>
      <c r="AB23" s="42"/>
      <c r="AC23" s="29"/>
      <c r="AD23" s="216" t="s">
        <v>207</v>
      </c>
      <c r="AE23" s="216"/>
      <c r="AF23" s="216"/>
      <c r="AG23" s="216"/>
      <c r="AH23" s="216"/>
      <c r="AI23" s="216"/>
      <c r="AJ23" s="216"/>
      <c r="AK23" s="15"/>
      <c r="AL23" s="43"/>
      <c r="AM23" s="42"/>
      <c r="AN23" s="42"/>
      <c r="AO23" s="29"/>
      <c r="AP23" s="216" t="s">
        <v>207</v>
      </c>
      <c r="AQ23" s="216"/>
      <c r="AR23" s="216"/>
      <c r="AS23" s="216"/>
      <c r="AT23" s="216"/>
      <c r="AU23" s="216"/>
      <c r="AV23" s="216"/>
      <c r="AW23" s="15"/>
      <c r="AX23" s="43"/>
      <c r="AY23" s="42"/>
      <c r="AZ23" s="42"/>
      <c r="BA23" s="29"/>
      <c r="BB23" s="216" t="s">
        <v>207</v>
      </c>
      <c r="BC23" s="216"/>
      <c r="BD23" s="216"/>
      <c r="BE23" s="216"/>
      <c r="BF23" s="216"/>
      <c r="BG23" s="216"/>
      <c r="BH23" s="216"/>
      <c r="BI23" s="15"/>
      <c r="BJ23" s="43"/>
      <c r="BK23" s="42"/>
      <c r="BL23" s="42"/>
      <c r="BM23" s="29"/>
      <c r="BN23" s="15"/>
      <c r="BO23" s="15"/>
      <c r="BP23" s="15"/>
      <c r="BQ23" s="15"/>
      <c r="BR23" s="15"/>
      <c r="BS23" s="15"/>
      <c r="BT23" s="15"/>
    </row>
    <row r="24" spans="1:72" ht="31.5" customHeight="1" x14ac:dyDescent="0.3">
      <c r="B24" s="76"/>
      <c r="C24" s="77"/>
      <c r="D24" s="77"/>
      <c r="E24" s="78"/>
      <c r="F24" s="216" t="s">
        <v>209</v>
      </c>
      <c r="G24" s="216"/>
      <c r="H24" s="216"/>
      <c r="I24" s="216"/>
      <c r="J24" s="216"/>
      <c r="K24" s="216"/>
      <c r="L24" s="216"/>
      <c r="N24" s="43"/>
      <c r="O24" s="42"/>
      <c r="P24" s="42"/>
      <c r="Q24" s="29"/>
      <c r="R24" s="216" t="s">
        <v>213</v>
      </c>
      <c r="S24" s="216"/>
      <c r="T24" s="216"/>
      <c r="U24" s="216"/>
      <c r="V24" s="216"/>
      <c r="W24" s="216"/>
      <c r="X24" s="216"/>
      <c r="Y24" s="15"/>
      <c r="Z24" s="43"/>
      <c r="AA24" s="42"/>
      <c r="AB24" s="42"/>
      <c r="AC24" s="29"/>
      <c r="AD24" s="216" t="s">
        <v>213</v>
      </c>
      <c r="AE24" s="216"/>
      <c r="AF24" s="216"/>
      <c r="AG24" s="216"/>
      <c r="AH24" s="216"/>
      <c r="AI24" s="216"/>
      <c r="AJ24" s="216"/>
      <c r="AK24" s="15"/>
      <c r="AL24" s="43"/>
      <c r="AM24" s="42"/>
      <c r="AN24" s="42"/>
      <c r="AO24" s="29"/>
      <c r="AP24" s="216" t="s">
        <v>213</v>
      </c>
      <c r="AQ24" s="216"/>
      <c r="AR24" s="216"/>
      <c r="AS24" s="216"/>
      <c r="AT24" s="216"/>
      <c r="AU24" s="216"/>
      <c r="AV24" s="216"/>
      <c r="AW24" s="15"/>
      <c r="AX24" s="43"/>
      <c r="AY24" s="42"/>
      <c r="AZ24" s="42"/>
      <c r="BA24" s="29"/>
      <c r="BB24" s="216" t="s">
        <v>213</v>
      </c>
      <c r="BC24" s="216"/>
      <c r="BD24" s="216"/>
      <c r="BE24" s="216"/>
      <c r="BF24" s="216"/>
      <c r="BG24" s="216"/>
      <c r="BH24" s="216"/>
      <c r="BI24" s="15"/>
      <c r="BJ24" s="43"/>
      <c r="BK24" s="42"/>
      <c r="BL24" s="42"/>
      <c r="BM24" s="29"/>
      <c r="BN24" s="15"/>
      <c r="BO24" s="15"/>
      <c r="BP24" s="15"/>
      <c r="BQ24" s="15"/>
      <c r="BR24" s="15"/>
      <c r="BS24" s="15"/>
      <c r="BT24" s="15"/>
    </row>
    <row r="25" spans="1:72" ht="15" customHeight="1" x14ac:dyDescent="0.3">
      <c r="B25" s="43" t="s">
        <v>77</v>
      </c>
      <c r="C25" s="42" t="s">
        <v>23</v>
      </c>
      <c r="D25" s="42"/>
      <c r="E25" s="29" t="s">
        <v>35</v>
      </c>
      <c r="F25" s="15" t="s">
        <v>98</v>
      </c>
      <c r="N25" s="43" t="s">
        <v>77</v>
      </c>
      <c r="O25" s="212" t="s">
        <v>23</v>
      </c>
      <c r="P25" s="212"/>
      <c r="Q25" s="29" t="s">
        <v>35</v>
      </c>
      <c r="R25" s="15" t="str">
        <f t="shared" si="3"/>
        <v>04 Juli 2011 - 04 Oktober 2011</v>
      </c>
      <c r="S25" s="15"/>
      <c r="T25" s="15"/>
      <c r="U25" s="15"/>
      <c r="V25" s="15"/>
      <c r="W25" s="15"/>
      <c r="X25" s="15"/>
      <c r="Y25" s="15"/>
      <c r="Z25" s="43" t="s">
        <v>77</v>
      </c>
      <c r="AA25" s="212" t="s">
        <v>23</v>
      </c>
      <c r="AB25" s="212"/>
      <c r="AC25" s="29" t="s">
        <v>35</v>
      </c>
      <c r="AD25" s="15" t="str">
        <f t="shared" si="1"/>
        <v>04 Juli 2011 - 04 Oktober 2011</v>
      </c>
      <c r="AE25" s="15"/>
      <c r="AF25" s="15"/>
      <c r="AG25" s="15"/>
      <c r="AH25" s="15"/>
      <c r="AI25" s="15"/>
      <c r="AJ25" s="15"/>
      <c r="AK25" s="15"/>
      <c r="AL25" s="43" t="s">
        <v>77</v>
      </c>
      <c r="AM25" s="212" t="s">
        <v>23</v>
      </c>
      <c r="AN25" s="212"/>
      <c r="AO25" s="29" t="s">
        <v>35</v>
      </c>
      <c r="AP25" s="15" t="str">
        <f t="shared" si="2"/>
        <v>04 Juli 2011 - 04 Oktober 2011</v>
      </c>
      <c r="AQ25" s="15"/>
      <c r="AR25" s="15"/>
      <c r="AS25" s="15"/>
      <c r="AT25" s="15"/>
      <c r="AU25" s="15"/>
      <c r="AV25" s="15"/>
      <c r="AW25" s="15"/>
      <c r="AX25" s="43" t="s">
        <v>77</v>
      </c>
      <c r="AY25" s="212" t="s">
        <v>23</v>
      </c>
      <c r="AZ25" s="212"/>
      <c r="BA25" s="29" t="s">
        <v>35</v>
      </c>
      <c r="BB25" s="15" t="str">
        <f t="shared" si="0"/>
        <v>04 Juli 2011 - 04 Oktober 2011</v>
      </c>
      <c r="BC25" s="15"/>
      <c r="BD25" s="15"/>
      <c r="BE25" s="15"/>
      <c r="BF25" s="15"/>
      <c r="BG25" s="15"/>
      <c r="BH25" s="15"/>
      <c r="BI25" s="15"/>
      <c r="BJ25" s="43" t="s">
        <v>77</v>
      </c>
      <c r="BK25" s="212" t="s">
        <v>23</v>
      </c>
      <c r="BL25" s="212"/>
      <c r="BM25" s="29" t="s">
        <v>35</v>
      </c>
      <c r="BN25" s="15"/>
      <c r="BO25" s="15"/>
      <c r="BP25" s="15"/>
      <c r="BQ25" s="15"/>
      <c r="BR25" s="15"/>
      <c r="BS25" s="15"/>
      <c r="BT25" s="15"/>
    </row>
    <row r="26" spans="1:72" ht="15" customHeight="1" x14ac:dyDescent="0.3">
      <c r="B26" s="43" t="s">
        <v>78</v>
      </c>
      <c r="C26" s="42" t="s">
        <v>85</v>
      </c>
      <c r="D26" s="42"/>
      <c r="E26" s="29" t="s">
        <v>35</v>
      </c>
      <c r="F26" s="15" t="s">
        <v>96</v>
      </c>
      <c r="N26" s="43" t="s">
        <v>78</v>
      </c>
      <c r="O26" s="212" t="s">
        <v>85</v>
      </c>
      <c r="P26" s="212"/>
      <c r="Q26" s="29" t="s">
        <v>35</v>
      </c>
      <c r="R26" s="15" t="s">
        <v>109</v>
      </c>
      <c r="S26" s="15"/>
      <c r="T26" s="15"/>
      <c r="U26" s="15"/>
      <c r="V26" s="15"/>
      <c r="W26" s="15"/>
      <c r="X26" s="15"/>
      <c r="Y26" s="15"/>
      <c r="Z26" s="43" t="s">
        <v>78</v>
      </c>
      <c r="AA26" s="212" t="s">
        <v>85</v>
      </c>
      <c r="AB26" s="212"/>
      <c r="AC26" s="29" t="s">
        <v>35</v>
      </c>
      <c r="AD26" s="15" t="str">
        <f>AD4</f>
        <v>Ahli Arsitektur</v>
      </c>
      <c r="AE26" s="15"/>
      <c r="AF26" s="15"/>
      <c r="AG26" s="15"/>
      <c r="AH26" s="15"/>
      <c r="AI26" s="15"/>
      <c r="AJ26" s="15"/>
      <c r="AK26" s="15"/>
      <c r="AL26" s="43" t="s">
        <v>78</v>
      </c>
      <c r="AM26" s="212" t="s">
        <v>85</v>
      </c>
      <c r="AN26" s="212"/>
      <c r="AO26" s="29" t="s">
        <v>35</v>
      </c>
      <c r="AP26" s="15" t="str">
        <f>AP4</f>
        <v>Ahli Arsitektur</v>
      </c>
      <c r="AQ26" s="15"/>
      <c r="AR26" s="15"/>
      <c r="AS26" s="15"/>
      <c r="AT26" s="15"/>
      <c r="AU26" s="15"/>
      <c r="AV26" s="15"/>
      <c r="AW26" s="15"/>
      <c r="AX26" s="43" t="s">
        <v>78</v>
      </c>
      <c r="AY26" s="212" t="s">
        <v>85</v>
      </c>
      <c r="AZ26" s="212"/>
      <c r="BA26" s="29" t="s">
        <v>35</v>
      </c>
      <c r="BB26" s="15" t="str">
        <f t="shared" si="0"/>
        <v>Ahli Arsitektur</v>
      </c>
      <c r="BC26" s="15"/>
      <c r="BD26" s="15"/>
      <c r="BE26" s="15"/>
      <c r="BF26" s="15"/>
      <c r="BG26" s="15"/>
      <c r="BH26" s="15"/>
      <c r="BI26" s="15"/>
      <c r="BJ26" s="43" t="s">
        <v>78</v>
      </c>
      <c r="BK26" s="212" t="s">
        <v>85</v>
      </c>
      <c r="BL26" s="212"/>
      <c r="BM26" s="29" t="s">
        <v>35</v>
      </c>
      <c r="BN26" s="15"/>
      <c r="BO26" s="15"/>
      <c r="BP26" s="15"/>
      <c r="BQ26" s="15"/>
      <c r="BR26" s="15"/>
      <c r="BS26" s="15"/>
      <c r="BT26" s="15"/>
    </row>
    <row r="27" spans="1:72" ht="15" customHeight="1" x14ac:dyDescent="0.3">
      <c r="B27" s="43" t="s">
        <v>79</v>
      </c>
      <c r="C27" s="42" t="s">
        <v>86</v>
      </c>
      <c r="D27" s="42"/>
      <c r="E27" s="29" t="s">
        <v>35</v>
      </c>
      <c r="F27" s="15" t="s">
        <v>97</v>
      </c>
      <c r="N27" s="43" t="s">
        <v>79</v>
      </c>
      <c r="O27" s="212" t="s">
        <v>86</v>
      </c>
      <c r="P27" s="212"/>
      <c r="Q27" s="29" t="s">
        <v>35</v>
      </c>
      <c r="R27" s="15" t="s">
        <v>108</v>
      </c>
      <c r="S27" s="15"/>
      <c r="T27" s="15"/>
      <c r="U27" s="15"/>
      <c r="V27" s="15"/>
      <c r="W27" s="15"/>
      <c r="X27" s="15"/>
      <c r="Y27" s="15"/>
      <c r="Z27" s="43" t="s">
        <v>79</v>
      </c>
      <c r="AA27" s="212" t="s">
        <v>86</v>
      </c>
      <c r="AB27" s="212"/>
      <c r="AC27" s="29" t="s">
        <v>35</v>
      </c>
      <c r="AD27" s="15" t="str">
        <f t="shared" si="1"/>
        <v>Tenaga Ahli Pendukung</v>
      </c>
      <c r="AE27" s="15"/>
      <c r="AF27" s="15"/>
      <c r="AG27" s="15"/>
      <c r="AH27" s="15"/>
      <c r="AI27" s="15"/>
      <c r="AJ27" s="15"/>
      <c r="AK27" s="15"/>
      <c r="AL27" s="43" t="s">
        <v>79</v>
      </c>
      <c r="AM27" s="212" t="s">
        <v>86</v>
      </c>
      <c r="AN27" s="212"/>
      <c r="AO27" s="29" t="s">
        <v>35</v>
      </c>
      <c r="AP27" s="15" t="str">
        <f t="shared" si="2"/>
        <v>Tenaga Ahli Pendukung</v>
      </c>
      <c r="AQ27" s="15"/>
      <c r="AR27" s="15"/>
      <c r="AS27" s="15"/>
      <c r="AT27" s="15"/>
      <c r="AU27" s="15"/>
      <c r="AV27" s="15"/>
      <c r="AW27" s="15"/>
      <c r="AX27" s="43" t="s">
        <v>79</v>
      </c>
      <c r="AY27" s="212" t="s">
        <v>86</v>
      </c>
      <c r="AZ27" s="212"/>
      <c r="BA27" s="29" t="s">
        <v>35</v>
      </c>
      <c r="BB27" s="15" t="str">
        <f t="shared" si="0"/>
        <v>Tenaga Ahli Pendukung</v>
      </c>
      <c r="BC27" s="15"/>
      <c r="BD27" s="15"/>
      <c r="BE27" s="15"/>
      <c r="BF27" s="15"/>
      <c r="BG27" s="15"/>
      <c r="BH27" s="15"/>
      <c r="BI27" s="15"/>
      <c r="BJ27" s="43" t="s">
        <v>79</v>
      </c>
      <c r="BK27" s="212" t="s">
        <v>86</v>
      </c>
      <c r="BL27" s="212"/>
      <c r="BM27" s="29" t="s">
        <v>35</v>
      </c>
      <c r="BN27" s="15"/>
      <c r="BO27" s="15"/>
      <c r="BP27" s="15"/>
      <c r="BQ27" s="15"/>
      <c r="BR27" s="15"/>
      <c r="BS27" s="15"/>
      <c r="BT27" s="15"/>
    </row>
    <row r="28" spans="1:72" ht="15" customHeight="1" x14ac:dyDescent="0.3">
      <c r="B28" s="43" t="s">
        <v>80</v>
      </c>
      <c r="C28" s="42" t="s">
        <v>87</v>
      </c>
      <c r="D28" s="42"/>
      <c r="E28" s="29" t="s">
        <v>35</v>
      </c>
      <c r="F28" s="15" t="s">
        <v>198</v>
      </c>
      <c r="N28" s="43" t="s">
        <v>80</v>
      </c>
      <c r="O28" s="212" t="s">
        <v>87</v>
      </c>
      <c r="P28" s="212"/>
      <c r="Q28" s="29" t="s">
        <v>35</v>
      </c>
      <c r="R28" s="15" t="s">
        <v>198</v>
      </c>
      <c r="S28" s="15"/>
      <c r="T28" s="15"/>
      <c r="U28" s="15"/>
      <c r="V28" s="15"/>
      <c r="W28" s="15"/>
      <c r="X28" s="15"/>
      <c r="Y28" s="15"/>
      <c r="Z28" s="43" t="s">
        <v>80</v>
      </c>
      <c r="AA28" s="212" t="s">
        <v>87</v>
      </c>
      <c r="AB28" s="212"/>
      <c r="AC28" s="29" t="s">
        <v>35</v>
      </c>
      <c r="AD28" s="15" t="str">
        <f t="shared" si="1"/>
        <v>Terlampir</v>
      </c>
      <c r="AE28" s="15"/>
      <c r="AF28" s="15"/>
      <c r="AG28" s="15"/>
      <c r="AH28" s="15"/>
      <c r="AI28" s="15"/>
      <c r="AJ28" s="15"/>
      <c r="AK28" s="15"/>
      <c r="AL28" s="43" t="s">
        <v>80</v>
      </c>
      <c r="AM28" s="212" t="s">
        <v>87</v>
      </c>
      <c r="AN28" s="212"/>
      <c r="AO28" s="29" t="s">
        <v>35</v>
      </c>
      <c r="AP28" s="15" t="str">
        <f t="shared" si="2"/>
        <v>Terlampir</v>
      </c>
      <c r="AQ28" s="15"/>
      <c r="AR28" s="15"/>
      <c r="AS28" s="15"/>
      <c r="AT28" s="15"/>
      <c r="AU28" s="15"/>
      <c r="AV28" s="15"/>
      <c r="AW28" s="15"/>
      <c r="AX28" s="43" t="s">
        <v>80</v>
      </c>
      <c r="AY28" s="212" t="s">
        <v>87</v>
      </c>
      <c r="AZ28" s="212"/>
      <c r="BA28" s="29" t="s">
        <v>35</v>
      </c>
      <c r="BB28" s="15" t="str">
        <f t="shared" si="0"/>
        <v>Terlampir</v>
      </c>
      <c r="BC28" s="15"/>
      <c r="BD28" s="15"/>
      <c r="BE28" s="15"/>
      <c r="BF28" s="15"/>
      <c r="BG28" s="15"/>
      <c r="BH28" s="15"/>
      <c r="BI28" s="15"/>
      <c r="BJ28" s="43" t="s">
        <v>80</v>
      </c>
      <c r="BK28" s="212" t="s">
        <v>87</v>
      </c>
      <c r="BL28" s="212"/>
      <c r="BM28" s="29" t="s">
        <v>35</v>
      </c>
      <c r="BN28" s="15"/>
      <c r="BO28" s="15"/>
      <c r="BP28" s="15"/>
      <c r="BQ28" s="15"/>
      <c r="BR28" s="15"/>
      <c r="BS28" s="15"/>
      <c r="BT28" s="15"/>
    </row>
    <row r="29" spans="1:72" ht="15" customHeight="1" x14ac:dyDescent="0.3">
      <c r="A29" s="43"/>
      <c r="B29" s="43"/>
      <c r="C29" s="43"/>
      <c r="E29" s="29"/>
      <c r="M29" s="43"/>
      <c r="N29" s="43"/>
      <c r="O29" s="43"/>
      <c r="Q29" s="29"/>
      <c r="R29" s="15"/>
      <c r="S29" s="15"/>
      <c r="T29" s="15"/>
      <c r="U29" s="15"/>
      <c r="V29" s="15"/>
      <c r="W29" s="15"/>
      <c r="X29" s="15"/>
      <c r="Y29" s="43"/>
      <c r="Z29" s="43"/>
      <c r="AA29" s="43"/>
      <c r="AB29" s="15"/>
      <c r="AC29" s="29"/>
      <c r="AD29" s="15"/>
      <c r="AE29" s="15"/>
      <c r="AF29" s="15"/>
      <c r="AG29" s="15"/>
      <c r="AH29" s="15"/>
      <c r="AI29" s="15"/>
      <c r="AJ29" s="15"/>
      <c r="AK29" s="43"/>
      <c r="AL29" s="43"/>
      <c r="AM29" s="43"/>
      <c r="AN29" s="15"/>
      <c r="AO29" s="29"/>
      <c r="AP29" s="15"/>
      <c r="AQ29" s="15"/>
      <c r="AR29" s="15"/>
      <c r="AS29" s="15"/>
      <c r="AT29" s="15"/>
      <c r="AU29" s="15"/>
      <c r="AV29" s="15"/>
      <c r="AW29" s="43"/>
      <c r="AX29" s="43"/>
      <c r="AY29" s="43"/>
      <c r="AZ29" s="15"/>
      <c r="BA29" s="29"/>
      <c r="BB29" s="15"/>
      <c r="BC29" s="15"/>
      <c r="BD29" s="15"/>
      <c r="BE29" s="15"/>
      <c r="BF29" s="15"/>
      <c r="BG29" s="15"/>
      <c r="BH29" s="15"/>
      <c r="BI29" s="43"/>
      <c r="BJ29" s="43"/>
      <c r="BK29" s="43"/>
      <c r="BL29" s="15"/>
      <c r="BM29" s="29"/>
      <c r="BN29" s="15"/>
      <c r="BO29" s="15"/>
      <c r="BP29" s="15"/>
      <c r="BQ29" s="15"/>
      <c r="BR29" s="15"/>
      <c r="BS29" s="15"/>
      <c r="BT29" s="15"/>
    </row>
    <row r="30" spans="1:72" ht="15" customHeight="1" x14ac:dyDescent="0.3">
      <c r="A30" s="43"/>
      <c r="B30" s="41" t="s">
        <v>82</v>
      </c>
      <c r="C30" s="41"/>
      <c r="D30" s="41">
        <v>2010</v>
      </c>
      <c r="E30" s="29"/>
      <c r="M30" s="43"/>
      <c r="N30" s="161" t="s">
        <v>82</v>
      </c>
      <c r="O30" s="161"/>
      <c r="P30" s="41">
        <v>2010</v>
      </c>
      <c r="Q30" s="29"/>
      <c r="R30" s="15"/>
      <c r="S30" s="15"/>
      <c r="T30" s="15"/>
      <c r="U30" s="15"/>
      <c r="V30" s="15"/>
      <c r="W30" s="15"/>
      <c r="X30" s="15"/>
      <c r="Y30" s="43"/>
      <c r="Z30" s="161" t="s">
        <v>82</v>
      </c>
      <c r="AA30" s="161"/>
      <c r="AB30" s="41">
        <v>2010</v>
      </c>
      <c r="AC30" s="29"/>
      <c r="AD30" s="15"/>
      <c r="AE30" s="15"/>
      <c r="AF30" s="15"/>
      <c r="AG30" s="15"/>
      <c r="AH30" s="15"/>
      <c r="AI30" s="15"/>
      <c r="AJ30" s="15"/>
      <c r="AK30" s="43"/>
      <c r="AL30" s="161" t="s">
        <v>82</v>
      </c>
      <c r="AM30" s="161"/>
      <c r="AN30" s="41">
        <f>AB30</f>
        <v>2010</v>
      </c>
      <c r="AO30" s="29"/>
      <c r="AP30" s="15"/>
      <c r="AQ30" s="15"/>
      <c r="AR30" s="15"/>
      <c r="AS30" s="15"/>
      <c r="AT30" s="15"/>
      <c r="AU30" s="15"/>
      <c r="AV30" s="15"/>
      <c r="AW30" s="43"/>
      <c r="AX30" s="161" t="s">
        <v>82</v>
      </c>
      <c r="AY30" s="161"/>
      <c r="AZ30" s="41">
        <v>2011</v>
      </c>
      <c r="BA30" s="29"/>
      <c r="BB30" s="15"/>
      <c r="BC30" s="15"/>
      <c r="BD30" s="15"/>
      <c r="BE30" s="15"/>
      <c r="BF30" s="15"/>
      <c r="BG30" s="15"/>
      <c r="BH30" s="15"/>
      <c r="BI30" s="43"/>
      <c r="BJ30" s="161" t="s">
        <v>82</v>
      </c>
      <c r="BK30" s="161"/>
      <c r="BL30" s="41">
        <v>2011</v>
      </c>
      <c r="BM30" s="29"/>
      <c r="BN30" s="15"/>
      <c r="BO30" s="15"/>
      <c r="BP30" s="15"/>
      <c r="BQ30" s="15"/>
      <c r="BR30" s="15"/>
      <c r="BS30" s="15"/>
      <c r="BT30" s="15"/>
    </row>
    <row r="31" spans="1:72" ht="15" customHeight="1" x14ac:dyDescent="0.3">
      <c r="A31" s="43"/>
      <c r="B31" s="43" t="s">
        <v>28</v>
      </c>
      <c r="C31" s="42" t="s">
        <v>71</v>
      </c>
      <c r="D31" s="42"/>
      <c r="E31" s="29" t="s">
        <v>35</v>
      </c>
      <c r="F31" s="15" t="s">
        <v>223</v>
      </c>
      <c r="M31" s="43"/>
      <c r="N31" s="43" t="s">
        <v>28</v>
      </c>
      <c r="O31" s="212" t="s">
        <v>71</v>
      </c>
      <c r="P31" s="212"/>
      <c r="Q31" s="29" t="s">
        <v>35</v>
      </c>
      <c r="R31" s="15" t="str">
        <f>F31</f>
        <v>Perencanaan Data Base Jalan</v>
      </c>
      <c r="S31" s="15"/>
      <c r="T31" s="15"/>
      <c r="U31" s="15"/>
      <c r="V31" s="15"/>
      <c r="W31" s="15"/>
      <c r="X31" s="15"/>
      <c r="Y31" s="43"/>
      <c r="Z31" s="43" t="s">
        <v>28</v>
      </c>
      <c r="AA31" s="212" t="s">
        <v>71</v>
      </c>
      <c r="AB31" s="212"/>
      <c r="AC31" s="29" t="s">
        <v>35</v>
      </c>
      <c r="AD31" s="15" t="str">
        <f t="shared" si="1"/>
        <v>Perencanaan Data Base Jalan</v>
      </c>
      <c r="AE31" s="15"/>
      <c r="AF31" s="15"/>
      <c r="AG31" s="15"/>
      <c r="AH31" s="15"/>
      <c r="AI31" s="15"/>
      <c r="AJ31" s="15"/>
      <c r="AK31" s="43"/>
      <c r="AL31" s="43" t="s">
        <v>28</v>
      </c>
      <c r="AM31" s="212" t="s">
        <v>71</v>
      </c>
      <c r="AN31" s="212"/>
      <c r="AO31" s="29" t="s">
        <v>35</v>
      </c>
      <c r="AP31" s="15" t="str">
        <f t="shared" si="2"/>
        <v>Perencanaan Data Base Jalan</v>
      </c>
      <c r="AQ31" s="15"/>
      <c r="AR31" s="15"/>
      <c r="AS31" s="15"/>
      <c r="AT31" s="15"/>
      <c r="AU31" s="15"/>
      <c r="AV31" s="15"/>
      <c r="AW31" s="43"/>
      <c r="AX31" s="43" t="s">
        <v>28</v>
      </c>
      <c r="AY31" s="212" t="s">
        <v>71</v>
      </c>
      <c r="AZ31" s="212"/>
      <c r="BA31" s="29" t="s">
        <v>35</v>
      </c>
      <c r="BB31" s="15" t="str">
        <f t="shared" si="0"/>
        <v>Perencanaan Data Base Jalan</v>
      </c>
      <c r="BC31" s="15"/>
      <c r="BD31" s="15"/>
      <c r="BE31" s="15"/>
      <c r="BF31" s="15"/>
      <c r="BG31" s="15"/>
      <c r="BH31" s="15"/>
      <c r="BI31" s="43"/>
      <c r="BJ31" s="43" t="s">
        <v>28</v>
      </c>
      <c r="BK31" s="212" t="s">
        <v>71</v>
      </c>
      <c r="BL31" s="212"/>
      <c r="BM31" s="29" t="s">
        <v>35</v>
      </c>
      <c r="BN31" s="15"/>
      <c r="BO31" s="15"/>
      <c r="BP31" s="15"/>
      <c r="BQ31" s="15"/>
      <c r="BR31" s="15"/>
      <c r="BS31" s="15"/>
      <c r="BT31" s="15"/>
    </row>
    <row r="32" spans="1:72" ht="15" customHeight="1" x14ac:dyDescent="0.3">
      <c r="A32" s="43"/>
      <c r="B32" s="43" t="s">
        <v>73</v>
      </c>
      <c r="C32" s="42" t="s">
        <v>21</v>
      </c>
      <c r="D32" s="42"/>
      <c r="E32" s="29" t="s">
        <v>35</v>
      </c>
      <c r="F32" s="15" t="s">
        <v>240</v>
      </c>
      <c r="M32" s="43"/>
      <c r="N32" s="43" t="s">
        <v>73</v>
      </c>
      <c r="O32" s="212" t="s">
        <v>21</v>
      </c>
      <c r="P32" s="212"/>
      <c r="Q32" s="29" t="s">
        <v>35</v>
      </c>
      <c r="R32" s="15" t="str">
        <f t="shared" ref="R32:R40" si="4">F32</f>
        <v>Kabupaten Sigi</v>
      </c>
      <c r="S32" s="15"/>
      <c r="T32" s="15"/>
      <c r="U32" s="15"/>
      <c r="V32" s="15"/>
      <c r="W32" s="15"/>
      <c r="X32" s="15"/>
      <c r="Y32" s="43"/>
      <c r="Z32" s="43" t="s">
        <v>73</v>
      </c>
      <c r="AA32" s="212" t="s">
        <v>21</v>
      </c>
      <c r="AB32" s="212"/>
      <c r="AC32" s="29" t="s">
        <v>35</v>
      </c>
      <c r="AD32" s="15" t="str">
        <f t="shared" si="1"/>
        <v>Kabupaten Sigi</v>
      </c>
      <c r="AE32" s="15"/>
      <c r="AF32" s="15"/>
      <c r="AG32" s="15"/>
      <c r="AH32" s="15"/>
      <c r="AI32" s="15"/>
      <c r="AJ32" s="15"/>
      <c r="AK32" s="43"/>
      <c r="AL32" s="43" t="s">
        <v>73</v>
      </c>
      <c r="AM32" s="212" t="s">
        <v>21</v>
      </c>
      <c r="AN32" s="212"/>
      <c r="AO32" s="29" t="s">
        <v>35</v>
      </c>
      <c r="AP32" s="15" t="str">
        <f t="shared" si="2"/>
        <v>Kabupaten Sigi</v>
      </c>
      <c r="AQ32" s="15"/>
      <c r="AR32" s="15"/>
      <c r="AS32" s="15"/>
      <c r="AT32" s="15"/>
      <c r="AU32" s="15"/>
      <c r="AV32" s="15"/>
      <c r="AW32" s="43"/>
      <c r="AX32" s="43" t="s">
        <v>73</v>
      </c>
      <c r="AY32" s="212" t="s">
        <v>21</v>
      </c>
      <c r="AZ32" s="212"/>
      <c r="BA32" s="29" t="s">
        <v>35</v>
      </c>
      <c r="BB32" s="15" t="str">
        <f t="shared" si="0"/>
        <v>Kabupaten Sigi</v>
      </c>
      <c r="BC32" s="15"/>
      <c r="BD32" s="15"/>
      <c r="BE32" s="15"/>
      <c r="BF32" s="15"/>
      <c r="BG32" s="15"/>
      <c r="BH32" s="15"/>
      <c r="BI32" s="43"/>
      <c r="BJ32" s="43" t="s">
        <v>73</v>
      </c>
      <c r="BK32" s="212" t="s">
        <v>21</v>
      </c>
      <c r="BL32" s="212"/>
      <c r="BM32" s="29" t="s">
        <v>35</v>
      </c>
      <c r="BN32" s="15"/>
      <c r="BO32" s="15"/>
      <c r="BP32" s="15"/>
      <c r="BQ32" s="15"/>
      <c r="BR32" s="15"/>
      <c r="BS32" s="15"/>
      <c r="BT32" s="15"/>
    </row>
    <row r="33" spans="1:72" ht="15" customHeight="1" x14ac:dyDescent="0.3">
      <c r="A33" s="43"/>
      <c r="B33" s="43" t="s">
        <v>74</v>
      </c>
      <c r="C33" s="42" t="s">
        <v>83</v>
      </c>
      <c r="D33" s="42"/>
      <c r="E33" s="29" t="s">
        <v>35</v>
      </c>
      <c r="F33" s="15" t="s">
        <v>241</v>
      </c>
      <c r="M33" s="43"/>
      <c r="N33" s="43" t="s">
        <v>74</v>
      </c>
      <c r="O33" s="212" t="s">
        <v>83</v>
      </c>
      <c r="P33" s="212"/>
      <c r="Q33" s="29" t="s">
        <v>35</v>
      </c>
      <c r="R33" s="15" t="str">
        <f t="shared" si="4"/>
        <v>Jasa Perencanaan</v>
      </c>
      <c r="S33" s="15"/>
      <c r="T33" s="15"/>
      <c r="U33" s="15"/>
      <c r="V33" s="15"/>
      <c r="W33" s="15"/>
      <c r="X33" s="15"/>
      <c r="Y33" s="43"/>
      <c r="Z33" s="43" t="s">
        <v>74</v>
      </c>
      <c r="AA33" s="212" t="s">
        <v>83</v>
      </c>
      <c r="AB33" s="212"/>
      <c r="AC33" s="29" t="s">
        <v>35</v>
      </c>
      <c r="AD33" s="15" t="str">
        <f t="shared" si="1"/>
        <v>Jasa Perencanaan</v>
      </c>
      <c r="AE33" s="15"/>
      <c r="AF33" s="15"/>
      <c r="AG33" s="15"/>
      <c r="AH33" s="15"/>
      <c r="AI33" s="15"/>
      <c r="AJ33" s="15"/>
      <c r="AK33" s="43"/>
      <c r="AL33" s="43" t="s">
        <v>74</v>
      </c>
      <c r="AM33" s="212" t="s">
        <v>83</v>
      </c>
      <c r="AN33" s="212"/>
      <c r="AO33" s="29" t="s">
        <v>35</v>
      </c>
      <c r="AP33" s="15" t="str">
        <f t="shared" si="2"/>
        <v>Jasa Perencanaan</v>
      </c>
      <c r="AQ33" s="15"/>
      <c r="AR33" s="15"/>
      <c r="AS33" s="15"/>
      <c r="AT33" s="15"/>
      <c r="AU33" s="15"/>
      <c r="AV33" s="15"/>
      <c r="AW33" s="43"/>
      <c r="AX33" s="43" t="s">
        <v>74</v>
      </c>
      <c r="AY33" s="212" t="s">
        <v>83</v>
      </c>
      <c r="AZ33" s="212"/>
      <c r="BA33" s="29" t="s">
        <v>35</v>
      </c>
      <c r="BB33" s="15" t="str">
        <f t="shared" si="0"/>
        <v>Jasa Perencanaan</v>
      </c>
      <c r="BC33" s="15"/>
      <c r="BD33" s="15"/>
      <c r="BE33" s="15"/>
      <c r="BF33" s="15"/>
      <c r="BG33" s="15"/>
      <c r="BH33" s="15"/>
      <c r="BI33" s="43"/>
      <c r="BJ33" s="43" t="s">
        <v>74</v>
      </c>
      <c r="BK33" s="212" t="s">
        <v>83</v>
      </c>
      <c r="BL33" s="212"/>
      <c r="BM33" s="29" t="s">
        <v>35</v>
      </c>
      <c r="BN33" s="15"/>
      <c r="BO33" s="15"/>
      <c r="BP33" s="15"/>
      <c r="BQ33" s="15"/>
      <c r="BR33" s="15"/>
      <c r="BS33" s="15"/>
      <c r="BT33" s="15"/>
    </row>
    <row r="34" spans="1:72" ht="15" customHeight="1" x14ac:dyDescent="0.3">
      <c r="A34" s="43"/>
      <c r="B34" s="43" t="s">
        <v>75</v>
      </c>
      <c r="C34" s="42" t="s">
        <v>61</v>
      </c>
      <c r="D34" s="42"/>
      <c r="E34" s="29" t="s">
        <v>35</v>
      </c>
      <c r="F34" s="15" t="s">
        <v>226</v>
      </c>
      <c r="M34" s="43"/>
      <c r="N34" s="43" t="s">
        <v>75</v>
      </c>
      <c r="O34" s="212" t="s">
        <v>61</v>
      </c>
      <c r="P34" s="212"/>
      <c r="Q34" s="29" t="s">
        <v>35</v>
      </c>
      <c r="R34" s="15" t="str">
        <f t="shared" si="4"/>
        <v>CV. Adicipta Nusatama</v>
      </c>
      <c r="S34" s="15"/>
      <c r="T34" s="15"/>
      <c r="U34" s="15"/>
      <c r="V34" s="15"/>
      <c r="W34" s="15"/>
      <c r="X34" s="15"/>
      <c r="Y34" s="43"/>
      <c r="Z34" s="43" t="s">
        <v>75</v>
      </c>
      <c r="AA34" s="212" t="s">
        <v>61</v>
      </c>
      <c r="AB34" s="212"/>
      <c r="AC34" s="29" t="s">
        <v>35</v>
      </c>
      <c r="AD34" s="15" t="str">
        <f t="shared" si="1"/>
        <v>CV. Adicipta Nusatama</v>
      </c>
      <c r="AE34" s="15"/>
      <c r="AF34" s="15"/>
      <c r="AG34" s="15"/>
      <c r="AH34" s="15"/>
      <c r="AI34" s="15"/>
      <c r="AJ34" s="15"/>
      <c r="AK34" s="43"/>
      <c r="AL34" s="43" t="s">
        <v>75</v>
      </c>
      <c r="AM34" s="212" t="s">
        <v>61</v>
      </c>
      <c r="AN34" s="212"/>
      <c r="AO34" s="29" t="s">
        <v>35</v>
      </c>
      <c r="AP34" s="15" t="str">
        <f t="shared" si="2"/>
        <v>CV. Adicipta Nusatama</v>
      </c>
      <c r="AQ34" s="15"/>
      <c r="AR34" s="15"/>
      <c r="AS34" s="15"/>
      <c r="AT34" s="15"/>
      <c r="AU34" s="15"/>
      <c r="AV34" s="15"/>
      <c r="AW34" s="43"/>
      <c r="AX34" s="43" t="s">
        <v>75</v>
      </c>
      <c r="AY34" s="212" t="s">
        <v>61</v>
      </c>
      <c r="AZ34" s="212"/>
      <c r="BA34" s="29" t="s">
        <v>35</v>
      </c>
      <c r="BB34" s="15" t="str">
        <f t="shared" si="0"/>
        <v>CV. Adicipta Nusatama</v>
      </c>
      <c r="BC34" s="15"/>
      <c r="BD34" s="15"/>
      <c r="BE34" s="15"/>
      <c r="BF34" s="15"/>
      <c r="BG34" s="15"/>
      <c r="BH34" s="15"/>
      <c r="BI34" s="43"/>
      <c r="BJ34" s="43" t="s">
        <v>75</v>
      </c>
      <c r="BK34" s="212" t="s">
        <v>61</v>
      </c>
      <c r="BL34" s="212"/>
      <c r="BM34" s="29" t="s">
        <v>35</v>
      </c>
      <c r="BN34" s="15"/>
      <c r="BO34" s="15"/>
      <c r="BP34" s="15"/>
      <c r="BQ34" s="15"/>
      <c r="BR34" s="15"/>
      <c r="BS34" s="15"/>
      <c r="BT34" s="15"/>
    </row>
    <row r="35" spans="1:72" s="59" customFormat="1" ht="35.1" customHeight="1" x14ac:dyDescent="0.3">
      <c r="A35" s="76"/>
      <c r="B35" s="76" t="s">
        <v>32</v>
      </c>
      <c r="C35" s="77" t="s">
        <v>84</v>
      </c>
      <c r="D35" s="77"/>
      <c r="E35" s="78" t="s">
        <v>35</v>
      </c>
      <c r="F35" s="216" t="s">
        <v>208</v>
      </c>
      <c r="G35" s="216"/>
      <c r="H35" s="216"/>
      <c r="I35" s="216"/>
      <c r="J35" s="216"/>
      <c r="K35" s="216"/>
      <c r="L35" s="216"/>
      <c r="M35" s="76"/>
      <c r="N35" s="76" t="str">
        <f>B35</f>
        <v>e.</v>
      </c>
      <c r="O35" s="213" t="s">
        <v>84</v>
      </c>
      <c r="P35" s="213"/>
      <c r="Q35" s="78" t="s">
        <v>35</v>
      </c>
      <c r="R35" s="216" t="s">
        <v>210</v>
      </c>
      <c r="S35" s="216"/>
      <c r="T35" s="216"/>
      <c r="U35" s="216"/>
      <c r="V35" s="216"/>
      <c r="W35" s="216"/>
      <c r="X35" s="216"/>
      <c r="Y35" s="76"/>
      <c r="Z35" s="76" t="str">
        <f>N35</f>
        <v>e.</v>
      </c>
      <c r="AA35" s="213" t="str">
        <f>O35</f>
        <v>Uraian Tugas</v>
      </c>
      <c r="AB35" s="213"/>
      <c r="AC35" s="78" t="s">
        <v>35</v>
      </c>
      <c r="AD35" s="216" t="s">
        <v>210</v>
      </c>
      <c r="AE35" s="216"/>
      <c r="AF35" s="216"/>
      <c r="AG35" s="216"/>
      <c r="AH35" s="216"/>
      <c r="AI35" s="216"/>
      <c r="AJ35" s="216"/>
      <c r="AK35" s="76"/>
      <c r="AL35" s="76" t="s">
        <v>76</v>
      </c>
      <c r="AM35" s="213" t="s">
        <v>84</v>
      </c>
      <c r="AN35" s="213"/>
      <c r="AO35" s="78" t="s">
        <v>35</v>
      </c>
      <c r="AP35" s="216" t="s">
        <v>210</v>
      </c>
      <c r="AQ35" s="216"/>
      <c r="AR35" s="216"/>
      <c r="AS35" s="216"/>
      <c r="AT35" s="216"/>
      <c r="AU35" s="216"/>
      <c r="AV35" s="216"/>
      <c r="AW35" s="76"/>
      <c r="AX35" s="76" t="s">
        <v>76</v>
      </c>
      <c r="AY35" s="213" t="s">
        <v>84</v>
      </c>
      <c r="AZ35" s="213"/>
      <c r="BA35" s="78" t="s">
        <v>35</v>
      </c>
      <c r="BB35" s="216" t="s">
        <v>210</v>
      </c>
      <c r="BC35" s="216"/>
      <c r="BD35" s="216"/>
      <c r="BE35" s="216"/>
      <c r="BF35" s="216"/>
      <c r="BG35" s="216"/>
      <c r="BH35" s="216"/>
      <c r="BI35" s="76"/>
      <c r="BJ35" s="76" t="s">
        <v>76</v>
      </c>
      <c r="BK35" s="213" t="s">
        <v>84</v>
      </c>
      <c r="BL35" s="213"/>
      <c r="BM35" s="78" t="s">
        <v>35</v>
      </c>
      <c r="BN35" s="79"/>
      <c r="BO35" s="79"/>
      <c r="BP35" s="79"/>
      <c r="BQ35" s="79"/>
      <c r="BR35" s="79"/>
      <c r="BS35" s="79"/>
      <c r="BT35" s="79"/>
    </row>
    <row r="36" spans="1:72" ht="35.1" customHeight="1" x14ac:dyDescent="0.3">
      <c r="A36" s="43"/>
      <c r="B36" s="43"/>
      <c r="C36" s="42"/>
      <c r="D36" s="42"/>
      <c r="E36" s="29"/>
      <c r="F36" s="216" t="s">
        <v>205</v>
      </c>
      <c r="G36" s="216"/>
      <c r="H36" s="216"/>
      <c r="I36" s="216"/>
      <c r="J36" s="216"/>
      <c r="K36" s="216"/>
      <c r="L36" s="216"/>
      <c r="M36" s="43"/>
      <c r="N36" s="43"/>
      <c r="O36" s="42"/>
      <c r="P36" s="42"/>
      <c r="Q36" s="29"/>
      <c r="R36" s="216" t="s">
        <v>211</v>
      </c>
      <c r="S36" s="216"/>
      <c r="T36" s="216"/>
      <c r="U36" s="216"/>
      <c r="V36" s="216"/>
      <c r="W36" s="216"/>
      <c r="X36" s="216"/>
      <c r="Y36" s="43"/>
      <c r="Z36" s="43"/>
      <c r="AA36" s="42"/>
      <c r="AB36" s="42"/>
      <c r="AC36" s="29"/>
      <c r="AD36" s="216" t="s">
        <v>211</v>
      </c>
      <c r="AE36" s="216"/>
      <c r="AF36" s="216"/>
      <c r="AG36" s="216"/>
      <c r="AH36" s="216"/>
      <c r="AI36" s="216"/>
      <c r="AJ36" s="216"/>
      <c r="AK36" s="43"/>
      <c r="AL36" s="43"/>
      <c r="AM36" s="42"/>
      <c r="AN36" s="42"/>
      <c r="AO36" s="29"/>
      <c r="AP36" s="216" t="s">
        <v>211</v>
      </c>
      <c r="AQ36" s="216"/>
      <c r="AR36" s="216"/>
      <c r="AS36" s="216"/>
      <c r="AT36" s="216"/>
      <c r="AU36" s="216"/>
      <c r="AV36" s="216"/>
      <c r="AW36" s="43"/>
      <c r="AX36" s="43"/>
      <c r="AY36" s="42"/>
      <c r="AZ36" s="42"/>
      <c r="BA36" s="29"/>
      <c r="BB36" s="216" t="s">
        <v>211</v>
      </c>
      <c r="BC36" s="216"/>
      <c r="BD36" s="216"/>
      <c r="BE36" s="216"/>
      <c r="BF36" s="216"/>
      <c r="BG36" s="216"/>
      <c r="BH36" s="216"/>
      <c r="BI36" s="43"/>
      <c r="BJ36" s="43"/>
      <c r="BK36" s="42"/>
      <c r="BL36" s="42"/>
      <c r="BM36" s="29"/>
      <c r="BN36" s="15"/>
      <c r="BO36" s="15"/>
      <c r="BP36" s="15"/>
      <c r="BQ36" s="15"/>
      <c r="BR36" s="15"/>
      <c r="BS36" s="15"/>
      <c r="BT36" s="15"/>
    </row>
    <row r="37" spans="1:72" ht="35.1" customHeight="1" x14ac:dyDescent="0.3">
      <c r="A37" s="43"/>
      <c r="B37" s="43"/>
      <c r="C37" s="42"/>
      <c r="D37" s="42"/>
      <c r="E37" s="29"/>
      <c r="F37" s="216" t="s">
        <v>206</v>
      </c>
      <c r="G37" s="216"/>
      <c r="H37" s="216"/>
      <c r="I37" s="216"/>
      <c r="J37" s="216"/>
      <c r="K37" s="216"/>
      <c r="L37" s="216"/>
      <c r="M37" s="43"/>
      <c r="N37" s="43"/>
      <c r="O37" s="42"/>
      <c r="P37" s="42"/>
      <c r="Q37" s="29"/>
      <c r="R37" s="216" t="s">
        <v>212</v>
      </c>
      <c r="S37" s="216"/>
      <c r="T37" s="216"/>
      <c r="U37" s="216"/>
      <c r="V37" s="216"/>
      <c r="W37" s="216"/>
      <c r="X37" s="216"/>
      <c r="Y37" s="43"/>
      <c r="Z37" s="43"/>
      <c r="AA37" s="42"/>
      <c r="AB37" s="42"/>
      <c r="AC37" s="29"/>
      <c r="AD37" s="216" t="s">
        <v>212</v>
      </c>
      <c r="AE37" s="216"/>
      <c r="AF37" s="216"/>
      <c r="AG37" s="216"/>
      <c r="AH37" s="216"/>
      <c r="AI37" s="216"/>
      <c r="AJ37" s="216"/>
      <c r="AK37" s="43"/>
      <c r="AL37" s="43"/>
      <c r="AM37" s="42"/>
      <c r="AN37" s="42"/>
      <c r="AO37" s="29"/>
      <c r="AP37" s="216" t="s">
        <v>212</v>
      </c>
      <c r="AQ37" s="216"/>
      <c r="AR37" s="216"/>
      <c r="AS37" s="216"/>
      <c r="AT37" s="216"/>
      <c r="AU37" s="216"/>
      <c r="AV37" s="216"/>
      <c r="AW37" s="43"/>
      <c r="AX37" s="43"/>
      <c r="AY37" s="42"/>
      <c r="AZ37" s="42"/>
      <c r="BA37" s="29"/>
      <c r="BB37" s="216" t="s">
        <v>212</v>
      </c>
      <c r="BC37" s="216"/>
      <c r="BD37" s="216"/>
      <c r="BE37" s="216"/>
      <c r="BF37" s="216"/>
      <c r="BG37" s="216"/>
      <c r="BH37" s="216"/>
      <c r="BI37" s="43"/>
      <c r="BJ37" s="43"/>
      <c r="BK37" s="42"/>
      <c r="BL37" s="42"/>
      <c r="BM37" s="29"/>
      <c r="BN37" s="15"/>
      <c r="BO37" s="15"/>
      <c r="BP37" s="15"/>
      <c r="BQ37" s="15"/>
      <c r="BR37" s="15"/>
      <c r="BS37" s="15"/>
      <c r="BT37" s="15"/>
    </row>
    <row r="38" spans="1:72" ht="35.1" customHeight="1" x14ac:dyDescent="0.3">
      <c r="A38" s="43"/>
      <c r="B38" s="43"/>
      <c r="C38" s="42"/>
      <c r="D38" s="42"/>
      <c r="E38" s="29"/>
      <c r="F38" s="216" t="s">
        <v>207</v>
      </c>
      <c r="G38" s="216"/>
      <c r="H38" s="216"/>
      <c r="I38" s="216"/>
      <c r="J38" s="216"/>
      <c r="K38" s="216"/>
      <c r="L38" s="216"/>
      <c r="M38" s="43"/>
      <c r="N38" s="43"/>
      <c r="O38" s="42"/>
      <c r="P38" s="42"/>
      <c r="Q38" s="29"/>
      <c r="R38" s="216" t="s">
        <v>207</v>
      </c>
      <c r="S38" s="216"/>
      <c r="T38" s="216"/>
      <c r="U38" s="216"/>
      <c r="V38" s="216"/>
      <c r="W38" s="216"/>
      <c r="X38" s="216"/>
      <c r="Y38" s="43"/>
      <c r="Z38" s="43"/>
      <c r="AA38" s="42"/>
      <c r="AB38" s="42"/>
      <c r="AC38" s="29"/>
      <c r="AD38" s="216" t="s">
        <v>207</v>
      </c>
      <c r="AE38" s="216"/>
      <c r="AF38" s="216"/>
      <c r="AG38" s="216"/>
      <c r="AH38" s="216"/>
      <c r="AI38" s="216"/>
      <c r="AJ38" s="216"/>
      <c r="AK38" s="43"/>
      <c r="AL38" s="43"/>
      <c r="AM38" s="42"/>
      <c r="AN38" s="42"/>
      <c r="AO38" s="29"/>
      <c r="AP38" s="216" t="s">
        <v>207</v>
      </c>
      <c r="AQ38" s="216"/>
      <c r="AR38" s="216"/>
      <c r="AS38" s="216"/>
      <c r="AT38" s="216"/>
      <c r="AU38" s="216"/>
      <c r="AV38" s="216"/>
      <c r="AW38" s="43"/>
      <c r="AX38" s="43"/>
      <c r="AY38" s="42"/>
      <c r="AZ38" s="42"/>
      <c r="BA38" s="29"/>
      <c r="BB38" s="216" t="s">
        <v>207</v>
      </c>
      <c r="BC38" s="216"/>
      <c r="BD38" s="216"/>
      <c r="BE38" s="216"/>
      <c r="BF38" s="216"/>
      <c r="BG38" s="216"/>
      <c r="BH38" s="216"/>
      <c r="BI38" s="43"/>
      <c r="BJ38" s="43"/>
      <c r="BK38" s="42"/>
      <c r="BL38" s="42"/>
      <c r="BM38" s="29"/>
      <c r="BN38" s="15"/>
      <c r="BO38" s="15"/>
      <c r="BP38" s="15"/>
      <c r="BQ38" s="15"/>
      <c r="BR38" s="15"/>
      <c r="BS38" s="15"/>
      <c r="BT38" s="15"/>
    </row>
    <row r="39" spans="1:72" ht="35.1" customHeight="1" x14ac:dyDescent="0.3">
      <c r="A39" s="43"/>
      <c r="B39" s="43"/>
      <c r="C39" s="42"/>
      <c r="D39" s="42"/>
      <c r="E39" s="29"/>
      <c r="F39" s="216" t="s">
        <v>209</v>
      </c>
      <c r="G39" s="216"/>
      <c r="H39" s="216"/>
      <c r="I39" s="216"/>
      <c r="J39" s="216"/>
      <c r="K39" s="216"/>
      <c r="L39" s="216"/>
      <c r="M39" s="43"/>
      <c r="N39" s="43"/>
      <c r="O39" s="42"/>
      <c r="P39" s="42"/>
      <c r="Q39" s="29"/>
      <c r="R39" s="216" t="s">
        <v>213</v>
      </c>
      <c r="S39" s="216"/>
      <c r="T39" s="216"/>
      <c r="U39" s="216"/>
      <c r="V39" s="216"/>
      <c r="W39" s="216"/>
      <c r="X39" s="216"/>
      <c r="Y39" s="43"/>
      <c r="Z39" s="43"/>
      <c r="AA39" s="42"/>
      <c r="AB39" s="42"/>
      <c r="AC39" s="29"/>
      <c r="AD39" s="216" t="s">
        <v>213</v>
      </c>
      <c r="AE39" s="216"/>
      <c r="AF39" s="216"/>
      <c r="AG39" s="216"/>
      <c r="AH39" s="216"/>
      <c r="AI39" s="216"/>
      <c r="AJ39" s="216"/>
      <c r="AK39" s="43"/>
      <c r="AL39" s="43"/>
      <c r="AM39" s="42"/>
      <c r="AN39" s="42"/>
      <c r="AO39" s="29"/>
      <c r="AP39" s="216" t="s">
        <v>213</v>
      </c>
      <c r="AQ39" s="216"/>
      <c r="AR39" s="216"/>
      <c r="AS39" s="216"/>
      <c r="AT39" s="216"/>
      <c r="AU39" s="216"/>
      <c r="AV39" s="216"/>
      <c r="AW39" s="43"/>
      <c r="AX39" s="43"/>
      <c r="AY39" s="42"/>
      <c r="AZ39" s="42"/>
      <c r="BA39" s="29"/>
      <c r="BB39" s="216" t="s">
        <v>213</v>
      </c>
      <c r="BC39" s="216"/>
      <c r="BD39" s="216"/>
      <c r="BE39" s="216"/>
      <c r="BF39" s="216"/>
      <c r="BG39" s="216"/>
      <c r="BH39" s="216"/>
      <c r="BI39" s="43"/>
      <c r="BJ39" s="43"/>
      <c r="BK39" s="42"/>
      <c r="BL39" s="42"/>
      <c r="BM39" s="29"/>
      <c r="BN39" s="15"/>
      <c r="BO39" s="15"/>
      <c r="BP39" s="15"/>
      <c r="BQ39" s="15"/>
      <c r="BR39" s="15"/>
      <c r="BS39" s="15"/>
      <c r="BT39" s="15"/>
    </row>
    <row r="40" spans="1:72" ht="15" customHeight="1" x14ac:dyDescent="0.3">
      <c r="A40" s="43"/>
      <c r="B40" s="43" t="s">
        <v>77</v>
      </c>
      <c r="C40" s="42" t="s">
        <v>23</v>
      </c>
      <c r="D40" s="42"/>
      <c r="E40" s="29" t="s">
        <v>35</v>
      </c>
      <c r="F40" s="15" t="s">
        <v>242</v>
      </c>
      <c r="M40" s="43"/>
      <c r="N40" s="43" t="s">
        <v>77</v>
      </c>
      <c r="O40" s="212" t="s">
        <v>23</v>
      </c>
      <c r="P40" s="212"/>
      <c r="Q40" s="29" t="s">
        <v>35</v>
      </c>
      <c r="R40" s="15" t="str">
        <f t="shared" si="4"/>
        <v>02 Nopember 2010 s/d 16 Desember 2010</v>
      </c>
      <c r="S40" s="15"/>
      <c r="T40" s="15"/>
      <c r="U40" s="15"/>
      <c r="V40" s="15"/>
      <c r="W40" s="15"/>
      <c r="X40" s="15"/>
      <c r="Y40" s="43"/>
      <c r="Z40" s="43" t="s">
        <v>77</v>
      </c>
      <c r="AA40" s="212" t="s">
        <v>23</v>
      </c>
      <c r="AB40" s="212"/>
      <c r="AC40" s="29" t="s">
        <v>35</v>
      </c>
      <c r="AD40" s="15" t="str">
        <f t="shared" si="1"/>
        <v>02 Nopember 2010 s/d 16 Desember 2010</v>
      </c>
      <c r="AE40" s="15"/>
      <c r="AF40" s="15"/>
      <c r="AG40" s="15"/>
      <c r="AH40" s="15"/>
      <c r="AI40" s="15"/>
      <c r="AJ40" s="15"/>
      <c r="AK40" s="43"/>
      <c r="AL40" s="43" t="s">
        <v>77</v>
      </c>
      <c r="AM40" s="212" t="s">
        <v>23</v>
      </c>
      <c r="AN40" s="212"/>
      <c r="AO40" s="29" t="s">
        <v>35</v>
      </c>
      <c r="AP40" s="15" t="str">
        <f t="shared" si="2"/>
        <v>02 Nopember 2010 s/d 16 Desember 2010</v>
      </c>
      <c r="AQ40" s="15"/>
      <c r="AR40" s="15"/>
      <c r="AS40" s="15"/>
      <c r="AT40" s="15"/>
      <c r="AU40" s="15"/>
      <c r="AV40" s="15"/>
      <c r="AW40" s="43"/>
      <c r="AX40" s="43" t="s">
        <v>77</v>
      </c>
      <c r="AY40" s="212" t="s">
        <v>23</v>
      </c>
      <c r="AZ40" s="212"/>
      <c r="BA40" s="29" t="s">
        <v>35</v>
      </c>
      <c r="BB40" s="15" t="str">
        <f t="shared" si="0"/>
        <v>02 Nopember 2010 s/d 16 Desember 2010</v>
      </c>
      <c r="BC40" s="15"/>
      <c r="BD40" s="15"/>
      <c r="BE40" s="15"/>
      <c r="BF40" s="15"/>
      <c r="BG40" s="15"/>
      <c r="BH40" s="15"/>
      <c r="BI40" s="43"/>
      <c r="BJ40" s="43" t="s">
        <v>77</v>
      </c>
      <c r="BK40" s="212" t="s">
        <v>23</v>
      </c>
      <c r="BL40" s="212"/>
      <c r="BM40" s="29" t="s">
        <v>35</v>
      </c>
      <c r="BN40" s="15"/>
      <c r="BO40" s="15"/>
      <c r="BP40" s="15"/>
      <c r="BQ40" s="15"/>
      <c r="BR40" s="15"/>
      <c r="BS40" s="15"/>
      <c r="BT40" s="15"/>
    </row>
    <row r="41" spans="1:72" ht="15" customHeight="1" x14ac:dyDescent="0.3">
      <c r="A41" s="43"/>
      <c r="B41" s="43" t="s">
        <v>78</v>
      </c>
      <c r="C41" s="42" t="s">
        <v>85</v>
      </c>
      <c r="D41" s="42"/>
      <c r="E41" s="29" t="s">
        <v>35</v>
      </c>
      <c r="F41" s="15" t="s">
        <v>96</v>
      </c>
      <c r="M41" s="43"/>
      <c r="N41" s="43" t="s">
        <v>78</v>
      </c>
      <c r="O41" s="212" t="s">
        <v>85</v>
      </c>
      <c r="P41" s="212"/>
      <c r="Q41" s="29" t="s">
        <v>35</v>
      </c>
      <c r="R41" s="15" t="str">
        <f>R26</f>
        <v>Ahli sipil</v>
      </c>
      <c r="S41" s="15"/>
      <c r="T41" s="15"/>
      <c r="U41" s="15"/>
      <c r="V41" s="15"/>
      <c r="W41" s="15"/>
      <c r="X41" s="15"/>
      <c r="Y41" s="43"/>
      <c r="Z41" s="43" t="s">
        <v>78</v>
      </c>
      <c r="AA41" s="212" t="s">
        <v>85</v>
      </c>
      <c r="AB41" s="212"/>
      <c r="AC41" s="29" t="s">
        <v>35</v>
      </c>
      <c r="AD41" s="15" t="str">
        <f>AD26</f>
        <v>Ahli Arsitektur</v>
      </c>
      <c r="AE41" s="15"/>
      <c r="AF41" s="15"/>
      <c r="AG41" s="15"/>
      <c r="AH41" s="15"/>
      <c r="AI41" s="15"/>
      <c r="AJ41" s="15"/>
      <c r="AK41" s="43"/>
      <c r="AL41" s="43" t="s">
        <v>78</v>
      </c>
      <c r="AM41" s="212" t="s">
        <v>85</v>
      </c>
      <c r="AN41" s="212"/>
      <c r="AO41" s="29" t="s">
        <v>35</v>
      </c>
      <c r="AP41" s="15" t="str">
        <f>AP26</f>
        <v>Ahli Arsitektur</v>
      </c>
      <c r="AQ41" s="15"/>
      <c r="AR41" s="15"/>
      <c r="AS41" s="15"/>
      <c r="AT41" s="15"/>
      <c r="AU41" s="15"/>
      <c r="AV41" s="15"/>
      <c r="AW41" s="43"/>
      <c r="AX41" s="43" t="s">
        <v>78</v>
      </c>
      <c r="AY41" s="212" t="s">
        <v>85</v>
      </c>
      <c r="AZ41" s="212"/>
      <c r="BA41" s="29" t="s">
        <v>35</v>
      </c>
      <c r="BB41" s="15" t="str">
        <f t="shared" si="0"/>
        <v>Ahli Arsitektur</v>
      </c>
      <c r="BC41" s="15"/>
      <c r="BD41" s="15"/>
      <c r="BE41" s="15"/>
      <c r="BF41" s="15"/>
      <c r="BG41" s="15"/>
      <c r="BH41" s="15"/>
      <c r="BI41" s="43"/>
      <c r="BJ41" s="43" t="s">
        <v>78</v>
      </c>
      <c r="BK41" s="212" t="s">
        <v>85</v>
      </c>
      <c r="BL41" s="212"/>
      <c r="BM41" s="29" t="s">
        <v>35</v>
      </c>
      <c r="BN41" s="15"/>
      <c r="BO41" s="15"/>
      <c r="BP41" s="15"/>
      <c r="BQ41" s="15"/>
      <c r="BR41" s="15"/>
      <c r="BS41" s="15"/>
      <c r="BT41" s="15"/>
    </row>
    <row r="42" spans="1:72" ht="15" customHeight="1" x14ac:dyDescent="0.3">
      <c r="A42" s="43"/>
      <c r="B42" s="43" t="s">
        <v>79</v>
      </c>
      <c r="C42" s="42" t="s">
        <v>86</v>
      </c>
      <c r="D42" s="42"/>
      <c r="E42" s="29" t="s">
        <v>35</v>
      </c>
      <c r="F42" s="15" t="s">
        <v>97</v>
      </c>
      <c r="M42" s="43"/>
      <c r="N42" s="43" t="s">
        <v>79</v>
      </c>
      <c r="O42" s="212" t="s">
        <v>86</v>
      </c>
      <c r="P42" s="212"/>
      <c r="Q42" s="29" t="s">
        <v>35</v>
      </c>
      <c r="R42" s="15" t="str">
        <f>R27</f>
        <v>Tenaga Ahli Pendukung</v>
      </c>
      <c r="S42" s="15"/>
      <c r="T42" s="15"/>
      <c r="U42" s="15"/>
      <c r="V42" s="15"/>
      <c r="W42" s="15"/>
      <c r="X42" s="15"/>
      <c r="Y42" s="43"/>
      <c r="Z42" s="43" t="s">
        <v>79</v>
      </c>
      <c r="AA42" s="212" t="s">
        <v>86</v>
      </c>
      <c r="AB42" s="212"/>
      <c r="AC42" s="29" t="s">
        <v>35</v>
      </c>
      <c r="AD42" s="15" t="str">
        <f t="shared" si="1"/>
        <v>Tenaga Ahli Pendukung</v>
      </c>
      <c r="AE42" s="15"/>
      <c r="AF42" s="15"/>
      <c r="AG42" s="15"/>
      <c r="AH42" s="15"/>
      <c r="AI42" s="15"/>
      <c r="AJ42" s="15"/>
      <c r="AK42" s="43"/>
      <c r="AL42" s="43" t="s">
        <v>79</v>
      </c>
      <c r="AM42" s="212" t="s">
        <v>86</v>
      </c>
      <c r="AN42" s="212"/>
      <c r="AO42" s="29" t="s">
        <v>35</v>
      </c>
      <c r="AP42" s="15" t="str">
        <f t="shared" si="2"/>
        <v>Tenaga Ahli Pendukung</v>
      </c>
      <c r="AQ42" s="15"/>
      <c r="AR42" s="15"/>
      <c r="AS42" s="15"/>
      <c r="AT42" s="15"/>
      <c r="AU42" s="15"/>
      <c r="AV42" s="15"/>
      <c r="AW42" s="43"/>
      <c r="AX42" s="43" t="s">
        <v>79</v>
      </c>
      <c r="AY42" s="212" t="s">
        <v>86</v>
      </c>
      <c r="AZ42" s="212"/>
      <c r="BA42" s="29" t="s">
        <v>35</v>
      </c>
      <c r="BB42" s="15" t="str">
        <f t="shared" si="0"/>
        <v>Tenaga Ahli Pendukung</v>
      </c>
      <c r="BC42" s="15"/>
      <c r="BD42" s="15"/>
      <c r="BE42" s="15"/>
      <c r="BF42" s="15"/>
      <c r="BG42" s="15"/>
      <c r="BH42" s="15"/>
      <c r="BI42" s="43"/>
      <c r="BJ42" s="43" t="s">
        <v>79</v>
      </c>
      <c r="BK42" s="212" t="s">
        <v>86</v>
      </c>
      <c r="BL42" s="212"/>
      <c r="BM42" s="29" t="s">
        <v>35</v>
      </c>
      <c r="BN42" s="15"/>
      <c r="BO42" s="15"/>
      <c r="BP42" s="15"/>
      <c r="BQ42" s="15"/>
      <c r="BR42" s="15"/>
      <c r="BS42" s="15"/>
      <c r="BT42" s="15"/>
    </row>
    <row r="43" spans="1:72" ht="15" customHeight="1" x14ac:dyDescent="0.3">
      <c r="A43" s="43"/>
      <c r="B43" s="43" t="s">
        <v>80</v>
      </c>
      <c r="C43" s="42" t="s">
        <v>87</v>
      </c>
      <c r="D43" s="42"/>
      <c r="E43" s="29" t="s">
        <v>35</v>
      </c>
      <c r="F43" s="15" t="str">
        <f>F28</f>
        <v>Terlampir</v>
      </c>
      <c r="M43" s="43"/>
      <c r="N43" s="43" t="s">
        <v>80</v>
      </c>
      <c r="O43" s="212" t="s">
        <v>87</v>
      </c>
      <c r="P43" s="212"/>
      <c r="Q43" s="29" t="s">
        <v>35</v>
      </c>
      <c r="R43" s="15" t="str">
        <f>R28</f>
        <v>Terlampir</v>
      </c>
      <c r="S43" s="15"/>
      <c r="T43" s="15"/>
      <c r="U43" s="15"/>
      <c r="V43" s="15"/>
      <c r="W43" s="15"/>
      <c r="X43" s="15"/>
      <c r="Y43" s="43"/>
      <c r="Z43" s="43" t="s">
        <v>80</v>
      </c>
      <c r="AA43" s="212" t="s">
        <v>87</v>
      </c>
      <c r="AB43" s="212"/>
      <c r="AC43" s="29" t="s">
        <v>35</v>
      </c>
      <c r="AD43" s="15" t="str">
        <f t="shared" si="1"/>
        <v>Terlampir</v>
      </c>
      <c r="AE43" s="15"/>
      <c r="AF43" s="15"/>
      <c r="AG43" s="15"/>
      <c r="AH43" s="15"/>
      <c r="AI43" s="15"/>
      <c r="AJ43" s="15"/>
      <c r="AK43" s="43"/>
      <c r="AL43" s="43" t="s">
        <v>80</v>
      </c>
      <c r="AM43" s="212" t="s">
        <v>87</v>
      </c>
      <c r="AN43" s="212"/>
      <c r="AO43" s="29" t="s">
        <v>35</v>
      </c>
      <c r="AP43" s="15" t="str">
        <f t="shared" si="2"/>
        <v>Terlampir</v>
      </c>
      <c r="AQ43" s="15"/>
      <c r="AR43" s="15"/>
      <c r="AS43" s="15"/>
      <c r="AT43" s="15"/>
      <c r="AU43" s="15"/>
      <c r="AV43" s="15"/>
      <c r="AW43" s="43"/>
      <c r="AX43" s="43" t="s">
        <v>80</v>
      </c>
      <c r="AY43" s="212" t="s">
        <v>87</v>
      </c>
      <c r="AZ43" s="212"/>
      <c r="BA43" s="29" t="s">
        <v>35</v>
      </c>
      <c r="BB43" s="15" t="str">
        <f t="shared" si="0"/>
        <v>Terlampir</v>
      </c>
      <c r="BC43" s="15"/>
      <c r="BD43" s="15"/>
      <c r="BE43" s="15"/>
      <c r="BF43" s="15"/>
      <c r="BG43" s="15"/>
      <c r="BH43" s="15"/>
      <c r="BI43" s="43"/>
      <c r="BJ43" s="43" t="s">
        <v>80</v>
      </c>
      <c r="BK43" s="212" t="s">
        <v>87</v>
      </c>
      <c r="BL43" s="212"/>
      <c r="BM43" s="29" t="s">
        <v>35</v>
      </c>
      <c r="BN43" s="15"/>
      <c r="BO43" s="15"/>
      <c r="BP43" s="15"/>
      <c r="BQ43" s="15"/>
      <c r="BR43" s="15"/>
      <c r="BS43" s="15"/>
      <c r="BT43" s="15"/>
    </row>
    <row r="44" spans="1:72" ht="15" customHeight="1" x14ac:dyDescent="0.3">
      <c r="A44" s="43"/>
      <c r="B44" s="43"/>
      <c r="C44" s="43"/>
      <c r="D44" s="43"/>
      <c r="M44" s="43"/>
      <c r="N44" s="43"/>
      <c r="O44" s="43"/>
      <c r="P44" s="43"/>
      <c r="R44" s="15"/>
      <c r="S44" s="15"/>
      <c r="T44" s="15"/>
      <c r="U44" s="15"/>
      <c r="V44" s="15"/>
      <c r="W44" s="15"/>
      <c r="X44" s="15"/>
      <c r="Y44" s="43"/>
      <c r="Z44" s="43"/>
      <c r="AA44" s="43"/>
      <c r="AB44" s="43"/>
      <c r="AC44" s="15"/>
      <c r="AD44" s="15"/>
      <c r="AE44" s="15"/>
      <c r="AF44" s="15"/>
      <c r="AG44" s="15"/>
      <c r="AH44" s="15"/>
      <c r="AI44" s="15"/>
      <c r="AJ44" s="15"/>
      <c r="AK44" s="43"/>
      <c r="AL44" s="43"/>
      <c r="AM44" s="43"/>
      <c r="AN44" s="43"/>
      <c r="AO44" s="15"/>
      <c r="AP44" s="15"/>
      <c r="AQ44" s="15"/>
      <c r="AR44" s="15"/>
      <c r="AS44" s="15"/>
      <c r="AT44" s="15"/>
      <c r="AU44" s="15"/>
      <c r="AV44" s="15"/>
      <c r="AW44" s="43"/>
      <c r="AX44" s="43"/>
      <c r="AY44" s="43"/>
      <c r="AZ44" s="43"/>
      <c r="BA44" s="15"/>
      <c r="BB44" s="15"/>
      <c r="BC44" s="15"/>
      <c r="BD44" s="15"/>
      <c r="BE44" s="15"/>
      <c r="BF44" s="15"/>
      <c r="BG44" s="15"/>
      <c r="BH44" s="15"/>
      <c r="BI44" s="43"/>
      <c r="BJ44" s="43"/>
      <c r="BK44" s="43"/>
      <c r="BL44" s="43"/>
      <c r="BM44" s="15"/>
      <c r="BN44" s="15"/>
      <c r="BO44" s="15"/>
      <c r="BP44" s="15"/>
      <c r="BQ44" s="15"/>
      <c r="BR44" s="15"/>
      <c r="BS44" s="15"/>
      <c r="BT44" s="15"/>
    </row>
    <row r="45" spans="1:72" ht="15" customHeight="1" x14ac:dyDescent="0.3">
      <c r="B45" s="41" t="s">
        <v>82</v>
      </c>
      <c r="C45" s="41"/>
      <c r="D45" s="41">
        <v>2009</v>
      </c>
      <c r="E45" s="29"/>
      <c r="N45" s="161" t="s">
        <v>82</v>
      </c>
      <c r="O45" s="161"/>
      <c r="P45" s="41">
        <v>2009</v>
      </c>
      <c r="Q45" s="29"/>
      <c r="R45" s="15"/>
      <c r="S45" s="15"/>
      <c r="T45" s="15"/>
      <c r="U45" s="15"/>
      <c r="V45" s="15"/>
      <c r="W45" s="15"/>
      <c r="X45" s="15"/>
      <c r="Y45" s="15"/>
      <c r="Z45" s="161" t="s">
        <v>82</v>
      </c>
      <c r="AA45" s="161"/>
      <c r="AB45" s="41">
        <f>P45</f>
        <v>2009</v>
      </c>
      <c r="AC45" s="29"/>
      <c r="AD45" s="15"/>
      <c r="AE45" s="15"/>
      <c r="AF45" s="15"/>
      <c r="AG45" s="15"/>
      <c r="AH45" s="15"/>
      <c r="AI45" s="15"/>
      <c r="AJ45" s="15"/>
      <c r="AK45" s="15"/>
      <c r="AL45" s="161" t="s">
        <v>82</v>
      </c>
      <c r="AM45" s="161"/>
      <c r="AN45" s="41">
        <f>AB45</f>
        <v>2009</v>
      </c>
      <c r="AO45" s="29"/>
      <c r="AP45" s="15"/>
      <c r="AQ45" s="15"/>
      <c r="AR45" s="15"/>
      <c r="AS45" s="15"/>
      <c r="AT45" s="15"/>
      <c r="AU45" s="15"/>
      <c r="AV45" s="15"/>
      <c r="AW45" s="15"/>
      <c r="AX45" s="161" t="s">
        <v>82</v>
      </c>
      <c r="AY45" s="161"/>
      <c r="AZ45" s="41">
        <v>2010</v>
      </c>
      <c r="BA45" s="29"/>
      <c r="BB45" s="15"/>
      <c r="BC45" s="15"/>
      <c r="BD45" s="15"/>
      <c r="BE45" s="15"/>
      <c r="BF45" s="15"/>
      <c r="BG45" s="15"/>
      <c r="BH45" s="15"/>
      <c r="BI45" s="15"/>
      <c r="BJ45" s="161" t="s">
        <v>82</v>
      </c>
      <c r="BK45" s="161"/>
      <c r="BL45" s="41">
        <v>2010</v>
      </c>
      <c r="BM45" s="29"/>
      <c r="BN45" s="15"/>
      <c r="BO45" s="15"/>
      <c r="BP45" s="15"/>
      <c r="BQ45" s="15"/>
      <c r="BR45" s="15"/>
      <c r="BS45" s="15"/>
      <c r="BT45" s="15"/>
    </row>
    <row r="46" spans="1:72" ht="15" customHeight="1" x14ac:dyDescent="0.3">
      <c r="B46" s="43" t="s">
        <v>28</v>
      </c>
      <c r="C46" s="42" t="s">
        <v>71</v>
      </c>
      <c r="D46" s="42"/>
      <c r="E46" s="29" t="s">
        <v>35</v>
      </c>
      <c r="F46" s="15" t="s">
        <v>243</v>
      </c>
      <c r="N46" s="43" t="s">
        <v>28</v>
      </c>
      <c r="O46" s="212" t="s">
        <v>71</v>
      </c>
      <c r="P46" s="212"/>
      <c r="Q46" s="29" t="s">
        <v>35</v>
      </c>
      <c r="R46" s="15" t="str">
        <f>F46</f>
        <v>Perencanaan Hotmix Jalan Kampus Untad</v>
      </c>
      <c r="S46" s="15"/>
      <c r="T46" s="15"/>
      <c r="U46" s="15"/>
      <c r="V46" s="15"/>
      <c r="W46" s="15"/>
      <c r="X46" s="15"/>
      <c r="Y46" s="15"/>
      <c r="Z46" s="43" t="s">
        <v>28</v>
      </c>
      <c r="AA46" s="212" t="s">
        <v>71</v>
      </c>
      <c r="AB46" s="212"/>
      <c r="AC46" s="29" t="s">
        <v>35</v>
      </c>
      <c r="AD46" s="15" t="str">
        <f t="shared" si="1"/>
        <v>Perencanaan Hotmix Jalan Kampus Untad</v>
      </c>
      <c r="AE46" s="15"/>
      <c r="AF46" s="15"/>
      <c r="AG46" s="15"/>
      <c r="AH46" s="15"/>
      <c r="AI46" s="15"/>
      <c r="AJ46" s="15"/>
      <c r="AK46" s="15"/>
      <c r="AL46" s="43" t="s">
        <v>28</v>
      </c>
      <c r="AM46" s="212" t="s">
        <v>71</v>
      </c>
      <c r="AN46" s="212"/>
      <c r="AO46" s="29" t="s">
        <v>35</v>
      </c>
      <c r="AP46" s="15" t="str">
        <f t="shared" si="2"/>
        <v>Perencanaan Hotmix Jalan Kampus Untad</v>
      </c>
      <c r="AQ46" s="15"/>
      <c r="AR46" s="15"/>
      <c r="AS46" s="15"/>
      <c r="AT46" s="15"/>
      <c r="AU46" s="15"/>
      <c r="AV46" s="15"/>
      <c r="AW46" s="15"/>
      <c r="AX46" s="43" t="s">
        <v>28</v>
      </c>
      <c r="AY46" s="212" t="s">
        <v>71</v>
      </c>
      <c r="AZ46" s="212"/>
      <c r="BA46" s="29" t="s">
        <v>35</v>
      </c>
      <c r="BB46" s="15" t="str">
        <f t="shared" si="0"/>
        <v>Perencanaan Hotmix Jalan Kampus Untad</v>
      </c>
      <c r="BC46" s="15"/>
      <c r="BD46" s="15"/>
      <c r="BE46" s="15"/>
      <c r="BF46" s="15"/>
      <c r="BG46" s="15"/>
      <c r="BH46" s="15"/>
      <c r="BI46" s="15"/>
      <c r="BJ46" s="43" t="s">
        <v>28</v>
      </c>
      <c r="BK46" s="212" t="s">
        <v>71</v>
      </c>
      <c r="BL46" s="212"/>
      <c r="BM46" s="29" t="s">
        <v>35</v>
      </c>
      <c r="BN46" s="15"/>
      <c r="BO46" s="15"/>
      <c r="BP46" s="15"/>
      <c r="BQ46" s="15"/>
      <c r="BR46" s="15"/>
      <c r="BS46" s="15"/>
      <c r="BT46" s="15"/>
    </row>
    <row r="47" spans="1:72" ht="15" customHeight="1" x14ac:dyDescent="0.3">
      <c r="B47" s="43" t="s">
        <v>73</v>
      </c>
      <c r="C47" s="42" t="s">
        <v>21</v>
      </c>
      <c r="D47" s="42"/>
      <c r="E47" s="29" t="s">
        <v>35</v>
      </c>
      <c r="F47" s="15" t="s">
        <v>103</v>
      </c>
      <c r="N47" s="43" t="s">
        <v>73</v>
      </c>
      <c r="O47" s="212" t="s">
        <v>21</v>
      </c>
      <c r="P47" s="212"/>
      <c r="Q47" s="29" t="s">
        <v>35</v>
      </c>
      <c r="R47" s="15" t="str">
        <f t="shared" ref="R47:R85" si="5">F47</f>
        <v>Kota Palu</v>
      </c>
      <c r="S47" s="15"/>
      <c r="T47" s="15"/>
      <c r="U47" s="15"/>
      <c r="V47" s="15"/>
      <c r="W47" s="15"/>
      <c r="X47" s="15"/>
      <c r="Y47" s="15"/>
      <c r="Z47" s="43" t="s">
        <v>73</v>
      </c>
      <c r="AA47" s="212" t="s">
        <v>21</v>
      </c>
      <c r="AB47" s="212"/>
      <c r="AC47" s="29" t="s">
        <v>35</v>
      </c>
      <c r="AD47" s="15" t="str">
        <f t="shared" si="1"/>
        <v>Kota Palu</v>
      </c>
      <c r="AE47" s="15"/>
      <c r="AF47" s="15"/>
      <c r="AG47" s="15"/>
      <c r="AH47" s="15"/>
      <c r="AI47" s="15"/>
      <c r="AJ47" s="15"/>
      <c r="AK47" s="15"/>
      <c r="AL47" s="43" t="s">
        <v>73</v>
      </c>
      <c r="AM47" s="212" t="s">
        <v>21</v>
      </c>
      <c r="AN47" s="212"/>
      <c r="AO47" s="29" t="s">
        <v>35</v>
      </c>
      <c r="AP47" s="15" t="str">
        <f t="shared" si="2"/>
        <v>Kota Palu</v>
      </c>
      <c r="AQ47" s="15"/>
      <c r="AR47" s="15"/>
      <c r="AS47" s="15"/>
      <c r="AT47" s="15"/>
      <c r="AU47" s="15"/>
      <c r="AV47" s="15"/>
      <c r="AW47" s="15"/>
      <c r="AX47" s="43" t="s">
        <v>73</v>
      </c>
      <c r="AY47" s="212" t="s">
        <v>21</v>
      </c>
      <c r="AZ47" s="212"/>
      <c r="BA47" s="29" t="s">
        <v>35</v>
      </c>
      <c r="BB47" s="15" t="str">
        <f t="shared" si="0"/>
        <v>Kota Palu</v>
      </c>
      <c r="BC47" s="15"/>
      <c r="BD47" s="15"/>
      <c r="BE47" s="15"/>
      <c r="BF47" s="15"/>
      <c r="BG47" s="15"/>
      <c r="BH47" s="15"/>
      <c r="BI47" s="15"/>
      <c r="BJ47" s="43" t="s">
        <v>73</v>
      </c>
      <c r="BK47" s="212" t="s">
        <v>21</v>
      </c>
      <c r="BL47" s="212"/>
      <c r="BM47" s="29" t="s">
        <v>35</v>
      </c>
      <c r="BN47" s="15"/>
      <c r="BO47" s="15"/>
      <c r="BP47" s="15"/>
      <c r="BQ47" s="15"/>
      <c r="BR47" s="15"/>
      <c r="BS47" s="15"/>
      <c r="BT47" s="15"/>
    </row>
    <row r="48" spans="1:72" ht="15" customHeight="1" x14ac:dyDescent="0.3">
      <c r="B48" s="43" t="s">
        <v>74</v>
      </c>
      <c r="C48" s="42" t="s">
        <v>83</v>
      </c>
      <c r="D48" s="42"/>
      <c r="E48" s="29" t="s">
        <v>35</v>
      </c>
      <c r="F48" s="15" t="s">
        <v>244</v>
      </c>
      <c r="N48" s="43" t="s">
        <v>74</v>
      </c>
      <c r="O48" s="212" t="s">
        <v>83</v>
      </c>
      <c r="P48" s="212"/>
      <c r="Q48" s="29" t="s">
        <v>35</v>
      </c>
      <c r="R48" s="15" t="str">
        <f t="shared" si="5"/>
        <v>Universitas Tadulako</v>
      </c>
      <c r="S48" s="15"/>
      <c r="T48" s="15"/>
      <c r="U48" s="15"/>
      <c r="V48" s="15"/>
      <c r="W48" s="15"/>
      <c r="X48" s="15"/>
      <c r="Y48" s="15"/>
      <c r="Z48" s="43" t="s">
        <v>74</v>
      </c>
      <c r="AA48" s="212" t="s">
        <v>83</v>
      </c>
      <c r="AB48" s="212"/>
      <c r="AC48" s="29" t="s">
        <v>35</v>
      </c>
      <c r="AD48" s="15" t="str">
        <f t="shared" si="1"/>
        <v>Universitas Tadulako</v>
      </c>
      <c r="AE48" s="15"/>
      <c r="AF48" s="15"/>
      <c r="AG48" s="15"/>
      <c r="AH48" s="15"/>
      <c r="AI48" s="15"/>
      <c r="AJ48" s="15"/>
      <c r="AK48" s="15"/>
      <c r="AL48" s="43" t="s">
        <v>74</v>
      </c>
      <c r="AM48" s="212" t="s">
        <v>83</v>
      </c>
      <c r="AN48" s="212"/>
      <c r="AO48" s="29" t="s">
        <v>35</v>
      </c>
      <c r="AP48" s="15" t="str">
        <f t="shared" si="2"/>
        <v>Universitas Tadulako</v>
      </c>
      <c r="AQ48" s="15"/>
      <c r="AR48" s="15"/>
      <c r="AS48" s="15"/>
      <c r="AT48" s="15"/>
      <c r="AU48" s="15"/>
      <c r="AV48" s="15"/>
      <c r="AW48" s="15"/>
      <c r="AX48" s="43" t="s">
        <v>74</v>
      </c>
      <c r="AY48" s="212" t="s">
        <v>83</v>
      </c>
      <c r="AZ48" s="212"/>
      <c r="BA48" s="29" t="s">
        <v>35</v>
      </c>
      <c r="BB48" s="15" t="str">
        <f t="shared" si="0"/>
        <v>Universitas Tadulako</v>
      </c>
      <c r="BC48" s="15"/>
      <c r="BD48" s="15"/>
      <c r="BE48" s="15"/>
      <c r="BF48" s="15"/>
      <c r="BG48" s="15"/>
      <c r="BH48" s="15"/>
      <c r="BI48" s="15"/>
      <c r="BJ48" s="43" t="s">
        <v>74</v>
      </c>
      <c r="BK48" s="212" t="s">
        <v>83</v>
      </c>
      <c r="BL48" s="212"/>
      <c r="BM48" s="29" t="s">
        <v>35</v>
      </c>
      <c r="BN48" s="15"/>
      <c r="BO48" s="15"/>
      <c r="BP48" s="15"/>
      <c r="BQ48" s="15"/>
      <c r="BR48" s="15"/>
      <c r="BS48" s="15"/>
      <c r="BT48" s="15"/>
    </row>
    <row r="49" spans="1:72" ht="15" customHeight="1" x14ac:dyDescent="0.3">
      <c r="B49" s="43" t="s">
        <v>75</v>
      </c>
      <c r="C49" s="42" t="s">
        <v>61</v>
      </c>
      <c r="D49" s="42"/>
      <c r="E49" s="29" t="s">
        <v>35</v>
      </c>
      <c r="F49" s="15" t="str">
        <f>F34</f>
        <v>CV. Adicipta Nusatama</v>
      </c>
      <c r="N49" s="43" t="s">
        <v>75</v>
      </c>
      <c r="O49" s="212" t="s">
        <v>61</v>
      </c>
      <c r="P49" s="212"/>
      <c r="Q49" s="29" t="s">
        <v>35</v>
      </c>
      <c r="R49" s="15" t="str">
        <f t="shared" si="5"/>
        <v>CV. Adicipta Nusatama</v>
      </c>
      <c r="S49" s="15"/>
      <c r="T49" s="15"/>
      <c r="U49" s="15"/>
      <c r="V49" s="15"/>
      <c r="W49" s="15"/>
      <c r="X49" s="15"/>
      <c r="Y49" s="15"/>
      <c r="Z49" s="43" t="s">
        <v>75</v>
      </c>
      <c r="AA49" s="212" t="s">
        <v>61</v>
      </c>
      <c r="AB49" s="212"/>
      <c r="AC49" s="29" t="s">
        <v>35</v>
      </c>
      <c r="AD49" s="15" t="str">
        <f t="shared" si="1"/>
        <v>CV. Adicipta Nusatama</v>
      </c>
      <c r="AE49" s="15"/>
      <c r="AF49" s="15"/>
      <c r="AG49" s="15"/>
      <c r="AH49" s="15"/>
      <c r="AI49" s="15"/>
      <c r="AJ49" s="15"/>
      <c r="AK49" s="15"/>
      <c r="AL49" s="43" t="s">
        <v>75</v>
      </c>
      <c r="AM49" s="212" t="s">
        <v>61</v>
      </c>
      <c r="AN49" s="212"/>
      <c r="AO49" s="29" t="s">
        <v>35</v>
      </c>
      <c r="AP49" s="15" t="str">
        <f t="shared" si="2"/>
        <v>CV. Adicipta Nusatama</v>
      </c>
      <c r="AQ49" s="15"/>
      <c r="AR49" s="15"/>
      <c r="AS49" s="15"/>
      <c r="AT49" s="15"/>
      <c r="AU49" s="15"/>
      <c r="AV49" s="15"/>
      <c r="AW49" s="15"/>
      <c r="AX49" s="43" t="s">
        <v>75</v>
      </c>
      <c r="AY49" s="212" t="s">
        <v>61</v>
      </c>
      <c r="AZ49" s="212"/>
      <c r="BA49" s="29" t="s">
        <v>35</v>
      </c>
      <c r="BB49" s="15" t="str">
        <f t="shared" si="0"/>
        <v>CV. Adicipta Nusatama</v>
      </c>
      <c r="BC49" s="15"/>
      <c r="BD49" s="15"/>
      <c r="BE49" s="15"/>
      <c r="BF49" s="15"/>
      <c r="BG49" s="15"/>
      <c r="BH49" s="15"/>
      <c r="BI49" s="15"/>
      <c r="BJ49" s="43" t="s">
        <v>75</v>
      </c>
      <c r="BK49" s="212" t="s">
        <v>61</v>
      </c>
      <c r="BL49" s="212"/>
      <c r="BM49" s="29" t="s">
        <v>35</v>
      </c>
      <c r="BN49" s="15"/>
      <c r="BO49" s="15"/>
      <c r="BP49" s="15"/>
      <c r="BQ49" s="15"/>
      <c r="BR49" s="15"/>
      <c r="BS49" s="15"/>
      <c r="BT49" s="15"/>
    </row>
    <row r="50" spans="1:72" s="59" customFormat="1" ht="35.1" customHeight="1" x14ac:dyDescent="0.3">
      <c r="A50" s="79"/>
      <c r="B50" s="76" t="s">
        <v>32</v>
      </c>
      <c r="C50" s="77" t="s">
        <v>84</v>
      </c>
      <c r="D50" s="77"/>
      <c r="E50" s="78" t="s">
        <v>35</v>
      </c>
      <c r="F50" s="216" t="s">
        <v>208</v>
      </c>
      <c r="G50" s="216"/>
      <c r="H50" s="216"/>
      <c r="I50" s="216"/>
      <c r="J50" s="216"/>
      <c r="K50" s="216"/>
      <c r="L50" s="216"/>
      <c r="M50" s="79"/>
      <c r="N50" s="76" t="str">
        <f>B50</f>
        <v>e.</v>
      </c>
      <c r="O50" s="213" t="s">
        <v>84</v>
      </c>
      <c r="P50" s="213"/>
      <c r="Q50" s="78" t="s">
        <v>35</v>
      </c>
      <c r="R50" s="216" t="s">
        <v>210</v>
      </c>
      <c r="S50" s="216"/>
      <c r="T50" s="216"/>
      <c r="U50" s="216"/>
      <c r="V50" s="216"/>
      <c r="W50" s="216"/>
      <c r="X50" s="216"/>
      <c r="Y50" s="79"/>
      <c r="Z50" s="76" t="str">
        <f>N50</f>
        <v>e.</v>
      </c>
      <c r="AA50" s="213" t="s">
        <v>84</v>
      </c>
      <c r="AB50" s="213"/>
      <c r="AC50" s="78" t="s">
        <v>35</v>
      </c>
      <c r="AD50" s="216" t="s">
        <v>210</v>
      </c>
      <c r="AE50" s="216"/>
      <c r="AF50" s="216"/>
      <c r="AG50" s="216"/>
      <c r="AH50" s="216"/>
      <c r="AI50" s="216"/>
      <c r="AJ50" s="216"/>
      <c r="AK50" s="79"/>
      <c r="AL50" s="76" t="s">
        <v>76</v>
      </c>
      <c r="AM50" s="213" t="s">
        <v>84</v>
      </c>
      <c r="AN50" s="213"/>
      <c r="AO50" s="78" t="s">
        <v>35</v>
      </c>
      <c r="AP50" s="216" t="s">
        <v>210</v>
      </c>
      <c r="AQ50" s="216"/>
      <c r="AR50" s="216"/>
      <c r="AS50" s="216"/>
      <c r="AT50" s="216"/>
      <c r="AU50" s="216"/>
      <c r="AV50" s="216"/>
      <c r="AW50" s="79"/>
      <c r="AX50" s="76" t="s">
        <v>76</v>
      </c>
      <c r="AY50" s="213" t="s">
        <v>84</v>
      </c>
      <c r="AZ50" s="213"/>
      <c r="BA50" s="78" t="s">
        <v>35</v>
      </c>
      <c r="BB50" s="216" t="s">
        <v>210</v>
      </c>
      <c r="BC50" s="216"/>
      <c r="BD50" s="216"/>
      <c r="BE50" s="216"/>
      <c r="BF50" s="216"/>
      <c r="BG50" s="216"/>
      <c r="BH50" s="216"/>
      <c r="BI50" s="79"/>
      <c r="BJ50" s="76" t="s">
        <v>76</v>
      </c>
      <c r="BK50" s="213" t="s">
        <v>84</v>
      </c>
      <c r="BL50" s="213"/>
      <c r="BM50" s="78" t="s">
        <v>35</v>
      </c>
      <c r="BN50" s="79"/>
      <c r="BO50" s="79"/>
      <c r="BP50" s="79"/>
      <c r="BQ50" s="79"/>
      <c r="BR50" s="79"/>
      <c r="BS50" s="79"/>
      <c r="BT50" s="79"/>
    </row>
    <row r="51" spans="1:72" ht="35.1" customHeight="1" x14ac:dyDescent="0.3">
      <c r="B51" s="43"/>
      <c r="C51" s="42"/>
      <c r="D51" s="42"/>
      <c r="E51" s="29"/>
      <c r="F51" s="216" t="s">
        <v>205</v>
      </c>
      <c r="G51" s="216"/>
      <c r="H51" s="216"/>
      <c r="I51" s="216"/>
      <c r="J51" s="216"/>
      <c r="K51" s="216"/>
      <c r="L51" s="216"/>
      <c r="N51" s="43"/>
      <c r="O51" s="42"/>
      <c r="P51" s="42"/>
      <c r="Q51" s="29"/>
      <c r="R51" s="216" t="s">
        <v>211</v>
      </c>
      <c r="S51" s="216"/>
      <c r="T51" s="216"/>
      <c r="U51" s="216"/>
      <c r="V51" s="216"/>
      <c r="W51" s="216"/>
      <c r="X51" s="216"/>
      <c r="Y51" s="15"/>
      <c r="Z51" s="43"/>
      <c r="AA51" s="42"/>
      <c r="AB51" s="42"/>
      <c r="AC51" s="29"/>
      <c r="AD51" s="216" t="s">
        <v>211</v>
      </c>
      <c r="AE51" s="216"/>
      <c r="AF51" s="216"/>
      <c r="AG51" s="216"/>
      <c r="AH51" s="216"/>
      <c r="AI51" s="216"/>
      <c r="AJ51" s="216"/>
      <c r="AK51" s="15"/>
      <c r="AL51" s="43"/>
      <c r="AM51" s="42"/>
      <c r="AN51" s="42"/>
      <c r="AO51" s="29"/>
      <c r="AP51" s="216" t="s">
        <v>211</v>
      </c>
      <c r="AQ51" s="216"/>
      <c r="AR51" s="216"/>
      <c r="AS51" s="216"/>
      <c r="AT51" s="216"/>
      <c r="AU51" s="216"/>
      <c r="AV51" s="216"/>
      <c r="AW51" s="15"/>
      <c r="AX51" s="43"/>
      <c r="AY51" s="42"/>
      <c r="AZ51" s="42"/>
      <c r="BA51" s="29"/>
      <c r="BB51" s="216" t="s">
        <v>211</v>
      </c>
      <c r="BC51" s="216"/>
      <c r="BD51" s="216"/>
      <c r="BE51" s="216"/>
      <c r="BF51" s="216"/>
      <c r="BG51" s="216"/>
      <c r="BH51" s="216"/>
      <c r="BI51" s="15"/>
      <c r="BJ51" s="43"/>
      <c r="BK51" s="42"/>
      <c r="BL51" s="42"/>
      <c r="BM51" s="29"/>
      <c r="BN51" s="15"/>
      <c r="BO51" s="15"/>
      <c r="BP51" s="15"/>
      <c r="BQ51" s="15"/>
      <c r="BR51" s="15"/>
      <c r="BS51" s="15"/>
      <c r="BT51" s="15"/>
    </row>
    <row r="52" spans="1:72" ht="35.1" customHeight="1" x14ac:dyDescent="0.3">
      <c r="B52" s="43"/>
      <c r="C52" s="42"/>
      <c r="D52" s="42"/>
      <c r="E52" s="29"/>
      <c r="F52" s="216" t="s">
        <v>206</v>
      </c>
      <c r="G52" s="216"/>
      <c r="H52" s="216"/>
      <c r="I52" s="216"/>
      <c r="J52" s="216"/>
      <c r="K52" s="216"/>
      <c r="L52" s="216"/>
      <c r="N52" s="43"/>
      <c r="O52" s="42"/>
      <c r="P52" s="42"/>
      <c r="Q52" s="29"/>
      <c r="R52" s="216" t="s">
        <v>212</v>
      </c>
      <c r="S52" s="216"/>
      <c r="T52" s="216"/>
      <c r="U52" s="216"/>
      <c r="V52" s="216"/>
      <c r="W52" s="216"/>
      <c r="X52" s="216"/>
      <c r="Y52" s="15"/>
      <c r="Z52" s="43"/>
      <c r="AA52" s="42"/>
      <c r="AB52" s="42"/>
      <c r="AC52" s="29"/>
      <c r="AD52" s="216" t="s">
        <v>212</v>
      </c>
      <c r="AE52" s="216"/>
      <c r="AF52" s="216"/>
      <c r="AG52" s="216"/>
      <c r="AH52" s="216"/>
      <c r="AI52" s="216"/>
      <c r="AJ52" s="216"/>
      <c r="AK52" s="15"/>
      <c r="AL52" s="43"/>
      <c r="AM52" s="42"/>
      <c r="AN52" s="42"/>
      <c r="AO52" s="29"/>
      <c r="AP52" s="216" t="s">
        <v>212</v>
      </c>
      <c r="AQ52" s="216"/>
      <c r="AR52" s="216"/>
      <c r="AS52" s="216"/>
      <c r="AT52" s="216"/>
      <c r="AU52" s="216"/>
      <c r="AV52" s="216"/>
      <c r="AW52" s="15"/>
      <c r="AX52" s="43"/>
      <c r="AY52" s="42"/>
      <c r="AZ52" s="42"/>
      <c r="BA52" s="29"/>
      <c r="BB52" s="216" t="s">
        <v>212</v>
      </c>
      <c r="BC52" s="216"/>
      <c r="BD52" s="216"/>
      <c r="BE52" s="216"/>
      <c r="BF52" s="216"/>
      <c r="BG52" s="216"/>
      <c r="BH52" s="216"/>
      <c r="BI52" s="15"/>
      <c r="BJ52" s="43"/>
      <c r="BK52" s="42"/>
      <c r="BL52" s="42"/>
      <c r="BM52" s="29"/>
      <c r="BN52" s="15"/>
      <c r="BO52" s="15"/>
      <c r="BP52" s="15"/>
      <c r="BQ52" s="15"/>
      <c r="BR52" s="15"/>
      <c r="BS52" s="15"/>
      <c r="BT52" s="15"/>
    </row>
    <row r="53" spans="1:72" ht="35.1" customHeight="1" x14ac:dyDescent="0.3">
      <c r="B53" s="43"/>
      <c r="C53" s="42"/>
      <c r="D53" s="42"/>
      <c r="E53" s="29"/>
      <c r="F53" s="216" t="s">
        <v>207</v>
      </c>
      <c r="G53" s="216"/>
      <c r="H53" s="216"/>
      <c r="I53" s="216"/>
      <c r="J53" s="216"/>
      <c r="K53" s="216"/>
      <c r="L53" s="216"/>
      <c r="N53" s="43"/>
      <c r="O53" s="42"/>
      <c r="P53" s="42"/>
      <c r="Q53" s="29"/>
      <c r="R53" s="216" t="s">
        <v>207</v>
      </c>
      <c r="S53" s="216"/>
      <c r="T53" s="216"/>
      <c r="U53" s="216"/>
      <c r="V53" s="216"/>
      <c r="W53" s="216"/>
      <c r="X53" s="216"/>
      <c r="Y53" s="15"/>
      <c r="Z53" s="43"/>
      <c r="AA53" s="42"/>
      <c r="AB53" s="42"/>
      <c r="AC53" s="29"/>
      <c r="AD53" s="216" t="s">
        <v>207</v>
      </c>
      <c r="AE53" s="216"/>
      <c r="AF53" s="216"/>
      <c r="AG53" s="216"/>
      <c r="AH53" s="216"/>
      <c r="AI53" s="216"/>
      <c r="AJ53" s="216"/>
      <c r="AK53" s="15"/>
      <c r="AL53" s="43"/>
      <c r="AM53" s="42"/>
      <c r="AN53" s="42"/>
      <c r="AO53" s="29"/>
      <c r="AP53" s="216" t="s">
        <v>207</v>
      </c>
      <c r="AQ53" s="216"/>
      <c r="AR53" s="216"/>
      <c r="AS53" s="216"/>
      <c r="AT53" s="216"/>
      <c r="AU53" s="216"/>
      <c r="AV53" s="216"/>
      <c r="AW53" s="15"/>
      <c r="AX53" s="43"/>
      <c r="AY53" s="42"/>
      <c r="AZ53" s="42"/>
      <c r="BA53" s="29"/>
      <c r="BB53" s="216" t="s">
        <v>207</v>
      </c>
      <c r="BC53" s="216"/>
      <c r="BD53" s="216"/>
      <c r="BE53" s="216"/>
      <c r="BF53" s="216"/>
      <c r="BG53" s="216"/>
      <c r="BH53" s="216"/>
      <c r="BI53" s="15"/>
      <c r="BJ53" s="43"/>
      <c r="BK53" s="42"/>
      <c r="BL53" s="42"/>
      <c r="BM53" s="29"/>
      <c r="BN53" s="15"/>
      <c r="BO53" s="15"/>
      <c r="BP53" s="15"/>
      <c r="BQ53" s="15"/>
      <c r="BR53" s="15"/>
      <c r="BS53" s="15"/>
      <c r="BT53" s="15"/>
    </row>
    <row r="54" spans="1:72" ht="35.1" customHeight="1" x14ac:dyDescent="0.3">
      <c r="B54" s="43"/>
      <c r="C54" s="42"/>
      <c r="D54" s="42"/>
      <c r="E54" s="29"/>
      <c r="F54" s="216" t="s">
        <v>209</v>
      </c>
      <c r="G54" s="216"/>
      <c r="H54" s="216"/>
      <c r="I54" s="216"/>
      <c r="J54" s="216"/>
      <c r="K54" s="216"/>
      <c r="L54" s="216"/>
      <c r="N54" s="43"/>
      <c r="O54" s="42"/>
      <c r="P54" s="42"/>
      <c r="Q54" s="29"/>
      <c r="R54" s="216" t="s">
        <v>213</v>
      </c>
      <c r="S54" s="216"/>
      <c r="T54" s="216"/>
      <c r="U54" s="216"/>
      <c r="V54" s="216"/>
      <c r="W54" s="216"/>
      <c r="X54" s="216"/>
      <c r="Y54" s="15"/>
      <c r="Z54" s="43"/>
      <c r="AA54" s="42"/>
      <c r="AB54" s="42"/>
      <c r="AC54" s="29"/>
      <c r="AD54" s="216" t="s">
        <v>213</v>
      </c>
      <c r="AE54" s="216"/>
      <c r="AF54" s="216"/>
      <c r="AG54" s="216"/>
      <c r="AH54" s="216"/>
      <c r="AI54" s="216"/>
      <c r="AJ54" s="216"/>
      <c r="AK54" s="15"/>
      <c r="AL54" s="43"/>
      <c r="AM54" s="42"/>
      <c r="AN54" s="42"/>
      <c r="AO54" s="29"/>
      <c r="AP54" s="216" t="s">
        <v>213</v>
      </c>
      <c r="AQ54" s="216"/>
      <c r="AR54" s="216"/>
      <c r="AS54" s="216"/>
      <c r="AT54" s="216"/>
      <c r="AU54" s="216"/>
      <c r="AV54" s="216"/>
      <c r="AW54" s="15"/>
      <c r="AX54" s="43"/>
      <c r="AY54" s="42"/>
      <c r="AZ54" s="42"/>
      <c r="BA54" s="29"/>
      <c r="BB54" s="216" t="s">
        <v>213</v>
      </c>
      <c r="BC54" s="216"/>
      <c r="BD54" s="216"/>
      <c r="BE54" s="216"/>
      <c r="BF54" s="216"/>
      <c r="BG54" s="216"/>
      <c r="BH54" s="216"/>
      <c r="BI54" s="15"/>
      <c r="BJ54" s="43"/>
      <c r="BK54" s="42"/>
      <c r="BL54" s="42"/>
      <c r="BM54" s="29"/>
      <c r="BN54" s="15"/>
      <c r="BO54" s="15"/>
      <c r="BP54" s="15"/>
      <c r="BQ54" s="15"/>
      <c r="BR54" s="15"/>
      <c r="BS54" s="15"/>
      <c r="BT54" s="15"/>
    </row>
    <row r="55" spans="1:72" ht="15" customHeight="1" x14ac:dyDescent="0.3">
      <c r="B55" s="43" t="s">
        <v>77</v>
      </c>
      <c r="C55" s="42" t="s">
        <v>23</v>
      </c>
      <c r="D55" s="42"/>
      <c r="E55" s="29" t="s">
        <v>35</v>
      </c>
      <c r="F55" s="15" t="s">
        <v>101</v>
      </c>
      <c r="N55" s="43" t="s">
        <v>77</v>
      </c>
      <c r="O55" s="212" t="s">
        <v>23</v>
      </c>
      <c r="P55" s="212"/>
      <c r="Q55" s="29" t="s">
        <v>35</v>
      </c>
      <c r="R55" s="15" t="str">
        <f t="shared" si="5"/>
        <v>2 April 2009 - 3 Desember 2009</v>
      </c>
      <c r="S55" s="15"/>
      <c r="T55" s="15"/>
      <c r="U55" s="15"/>
      <c r="V55" s="15"/>
      <c r="W55" s="15"/>
      <c r="X55" s="15"/>
      <c r="Y55" s="15"/>
      <c r="Z55" s="43" t="s">
        <v>77</v>
      </c>
      <c r="AA55" s="212" t="s">
        <v>23</v>
      </c>
      <c r="AB55" s="212"/>
      <c r="AC55" s="29" t="s">
        <v>35</v>
      </c>
      <c r="AD55" s="15" t="str">
        <f t="shared" si="1"/>
        <v>2 April 2009 - 3 Desember 2009</v>
      </c>
      <c r="AE55" s="15"/>
      <c r="AF55" s="15"/>
      <c r="AG55" s="15"/>
      <c r="AH55" s="15"/>
      <c r="AI55" s="15"/>
      <c r="AJ55" s="15"/>
      <c r="AK55" s="15"/>
      <c r="AL55" s="43" t="s">
        <v>77</v>
      </c>
      <c r="AM55" s="212" t="s">
        <v>23</v>
      </c>
      <c r="AN55" s="212"/>
      <c r="AO55" s="29" t="s">
        <v>35</v>
      </c>
      <c r="AP55" s="15" t="str">
        <f t="shared" si="2"/>
        <v>2 April 2009 - 3 Desember 2009</v>
      </c>
      <c r="AQ55" s="15"/>
      <c r="AR55" s="15"/>
      <c r="AS55" s="15"/>
      <c r="AT55" s="15"/>
      <c r="AU55" s="15"/>
      <c r="AV55" s="15"/>
      <c r="AW55" s="15"/>
      <c r="AX55" s="43" t="s">
        <v>77</v>
      </c>
      <c r="AY55" s="212" t="s">
        <v>23</v>
      </c>
      <c r="AZ55" s="212"/>
      <c r="BA55" s="29" t="s">
        <v>35</v>
      </c>
      <c r="BB55" s="15" t="str">
        <f t="shared" si="0"/>
        <v>2 April 2009 - 3 Desember 2009</v>
      </c>
      <c r="BC55" s="15"/>
      <c r="BD55" s="15"/>
      <c r="BE55" s="15"/>
      <c r="BF55" s="15"/>
      <c r="BG55" s="15"/>
      <c r="BH55" s="15"/>
      <c r="BI55" s="15"/>
      <c r="BJ55" s="43" t="s">
        <v>77</v>
      </c>
      <c r="BK55" s="212" t="s">
        <v>23</v>
      </c>
      <c r="BL55" s="212"/>
      <c r="BM55" s="29" t="s">
        <v>35</v>
      </c>
      <c r="BN55" s="15"/>
      <c r="BO55" s="15"/>
      <c r="BP55" s="15"/>
      <c r="BQ55" s="15"/>
      <c r="BR55" s="15"/>
      <c r="BS55" s="15"/>
      <c r="BT55" s="15"/>
    </row>
    <row r="56" spans="1:72" ht="15" customHeight="1" x14ac:dyDescent="0.3">
      <c r="B56" s="43" t="s">
        <v>78</v>
      </c>
      <c r="C56" s="42" t="s">
        <v>85</v>
      </c>
      <c r="D56" s="42"/>
      <c r="E56" s="29" t="s">
        <v>35</v>
      </c>
      <c r="F56" s="15" t="s">
        <v>96</v>
      </c>
      <c r="N56" s="43" t="s">
        <v>78</v>
      </c>
      <c r="O56" s="212" t="s">
        <v>85</v>
      </c>
      <c r="P56" s="212"/>
      <c r="Q56" s="29" t="s">
        <v>35</v>
      </c>
      <c r="R56" s="15" t="str">
        <f>R41</f>
        <v>Ahli sipil</v>
      </c>
      <c r="S56" s="15"/>
      <c r="T56" s="15"/>
      <c r="U56" s="15"/>
      <c r="V56" s="15"/>
      <c r="W56" s="15"/>
      <c r="X56" s="15"/>
      <c r="Y56" s="15"/>
      <c r="Z56" s="43" t="s">
        <v>78</v>
      </c>
      <c r="AA56" s="212" t="s">
        <v>85</v>
      </c>
      <c r="AB56" s="212"/>
      <c r="AC56" s="29" t="s">
        <v>35</v>
      </c>
      <c r="AD56" s="15" t="str">
        <f>AD41</f>
        <v>Ahli Arsitektur</v>
      </c>
      <c r="AE56" s="15"/>
      <c r="AF56" s="15"/>
      <c r="AG56" s="15"/>
      <c r="AH56" s="15"/>
      <c r="AI56" s="15"/>
      <c r="AJ56" s="15"/>
      <c r="AK56" s="15"/>
      <c r="AL56" s="43" t="s">
        <v>78</v>
      </c>
      <c r="AM56" s="212" t="s">
        <v>85</v>
      </c>
      <c r="AN56" s="212"/>
      <c r="AO56" s="29" t="s">
        <v>35</v>
      </c>
      <c r="AP56" s="15" t="str">
        <f>AP41</f>
        <v>Ahli Arsitektur</v>
      </c>
      <c r="AQ56" s="15"/>
      <c r="AR56" s="15"/>
      <c r="AS56" s="15"/>
      <c r="AT56" s="15"/>
      <c r="AU56" s="15"/>
      <c r="AV56" s="15"/>
      <c r="AW56" s="15"/>
      <c r="AX56" s="43" t="s">
        <v>78</v>
      </c>
      <c r="AY56" s="212" t="s">
        <v>85</v>
      </c>
      <c r="AZ56" s="212"/>
      <c r="BA56" s="29" t="s">
        <v>35</v>
      </c>
      <c r="BB56" s="15" t="str">
        <f t="shared" si="0"/>
        <v>Ahli Arsitektur</v>
      </c>
      <c r="BC56" s="15"/>
      <c r="BD56" s="15"/>
      <c r="BE56" s="15"/>
      <c r="BF56" s="15"/>
      <c r="BG56" s="15"/>
      <c r="BH56" s="15"/>
      <c r="BI56" s="15"/>
      <c r="BJ56" s="43" t="s">
        <v>78</v>
      </c>
      <c r="BK56" s="212" t="s">
        <v>85</v>
      </c>
      <c r="BL56" s="212"/>
      <c r="BM56" s="29" t="s">
        <v>35</v>
      </c>
      <c r="BN56" s="15"/>
      <c r="BO56" s="15"/>
      <c r="BP56" s="15"/>
      <c r="BQ56" s="15"/>
      <c r="BR56" s="15"/>
      <c r="BS56" s="15"/>
      <c r="BT56" s="15"/>
    </row>
    <row r="57" spans="1:72" ht="15" customHeight="1" x14ac:dyDescent="0.3">
      <c r="B57" s="43" t="s">
        <v>79</v>
      </c>
      <c r="C57" s="42" t="s">
        <v>86</v>
      </c>
      <c r="D57" s="42"/>
      <c r="E57" s="29" t="s">
        <v>35</v>
      </c>
      <c r="F57" s="15" t="str">
        <f>F42</f>
        <v>Tenaga Ahli Tetap</v>
      </c>
      <c r="N57" s="43" t="s">
        <v>79</v>
      </c>
      <c r="O57" s="212" t="s">
        <v>86</v>
      </c>
      <c r="P57" s="212"/>
      <c r="Q57" s="29" t="s">
        <v>35</v>
      </c>
      <c r="R57" s="15" t="str">
        <f>R42</f>
        <v>Tenaga Ahli Pendukung</v>
      </c>
      <c r="S57" s="15"/>
      <c r="T57" s="15"/>
      <c r="U57" s="15"/>
      <c r="V57" s="15"/>
      <c r="W57" s="15"/>
      <c r="X57" s="15"/>
      <c r="Y57" s="15"/>
      <c r="Z57" s="43" t="s">
        <v>79</v>
      </c>
      <c r="AA57" s="212" t="s">
        <v>86</v>
      </c>
      <c r="AB57" s="212"/>
      <c r="AC57" s="29" t="s">
        <v>35</v>
      </c>
      <c r="AD57" s="15" t="str">
        <f t="shared" si="1"/>
        <v>Tenaga Ahli Pendukung</v>
      </c>
      <c r="AE57" s="15"/>
      <c r="AF57" s="15"/>
      <c r="AG57" s="15"/>
      <c r="AH57" s="15"/>
      <c r="AI57" s="15"/>
      <c r="AJ57" s="15"/>
      <c r="AK57" s="15"/>
      <c r="AL57" s="43" t="s">
        <v>79</v>
      </c>
      <c r="AM57" s="212" t="s">
        <v>86</v>
      </c>
      <c r="AN57" s="212"/>
      <c r="AO57" s="29" t="s">
        <v>35</v>
      </c>
      <c r="AP57" s="15" t="str">
        <f t="shared" si="2"/>
        <v>Tenaga Ahli Pendukung</v>
      </c>
      <c r="AQ57" s="15"/>
      <c r="AR57" s="15"/>
      <c r="AS57" s="15"/>
      <c r="AT57" s="15"/>
      <c r="AU57" s="15"/>
      <c r="AV57" s="15"/>
      <c r="AW57" s="15"/>
      <c r="AX57" s="43" t="s">
        <v>79</v>
      </c>
      <c r="AY57" s="212" t="s">
        <v>86</v>
      </c>
      <c r="AZ57" s="212"/>
      <c r="BA57" s="29" t="s">
        <v>35</v>
      </c>
      <c r="BB57" s="15" t="str">
        <f t="shared" si="0"/>
        <v>Tenaga Ahli Pendukung</v>
      </c>
      <c r="BC57" s="15"/>
      <c r="BD57" s="15"/>
      <c r="BE57" s="15"/>
      <c r="BF57" s="15"/>
      <c r="BG57" s="15"/>
      <c r="BH57" s="15"/>
      <c r="BI57" s="15"/>
      <c r="BJ57" s="43" t="s">
        <v>79</v>
      </c>
      <c r="BK57" s="212" t="s">
        <v>86</v>
      </c>
      <c r="BL57" s="212"/>
      <c r="BM57" s="29" t="s">
        <v>35</v>
      </c>
      <c r="BN57" s="15"/>
      <c r="BO57" s="15"/>
      <c r="BP57" s="15"/>
      <c r="BQ57" s="15"/>
      <c r="BR57" s="15"/>
      <c r="BS57" s="15"/>
      <c r="BT57" s="15"/>
    </row>
    <row r="58" spans="1:72" ht="15" customHeight="1" x14ac:dyDescent="0.3">
      <c r="B58" s="43" t="s">
        <v>80</v>
      </c>
      <c r="C58" s="42" t="s">
        <v>87</v>
      </c>
      <c r="D58" s="42"/>
      <c r="E58" s="29" t="s">
        <v>35</v>
      </c>
      <c r="F58" s="15" t="str">
        <f>F43</f>
        <v>Terlampir</v>
      </c>
      <c r="N58" s="43" t="s">
        <v>80</v>
      </c>
      <c r="O58" s="212" t="s">
        <v>87</v>
      </c>
      <c r="P58" s="212"/>
      <c r="Q58" s="29" t="s">
        <v>35</v>
      </c>
      <c r="R58" s="15" t="str">
        <f>R43</f>
        <v>Terlampir</v>
      </c>
      <c r="S58" s="15"/>
      <c r="T58" s="15"/>
      <c r="U58" s="15"/>
      <c r="V58" s="15"/>
      <c r="W58" s="15"/>
      <c r="X58" s="15"/>
      <c r="Y58" s="15"/>
      <c r="Z58" s="43" t="s">
        <v>80</v>
      </c>
      <c r="AA58" s="212" t="s">
        <v>87</v>
      </c>
      <c r="AB58" s="212"/>
      <c r="AC58" s="29" t="s">
        <v>35</v>
      </c>
      <c r="AD58" s="15" t="str">
        <f t="shared" si="1"/>
        <v>Terlampir</v>
      </c>
      <c r="AE58" s="15"/>
      <c r="AF58" s="15"/>
      <c r="AG58" s="15"/>
      <c r="AH58" s="15"/>
      <c r="AI58" s="15"/>
      <c r="AJ58" s="15"/>
      <c r="AK58" s="15"/>
      <c r="AL58" s="43" t="s">
        <v>80</v>
      </c>
      <c r="AM58" s="212" t="s">
        <v>87</v>
      </c>
      <c r="AN58" s="212"/>
      <c r="AO58" s="29" t="s">
        <v>35</v>
      </c>
      <c r="AP58" s="15" t="str">
        <f t="shared" si="2"/>
        <v>Terlampir</v>
      </c>
      <c r="AQ58" s="15"/>
      <c r="AR58" s="15"/>
      <c r="AS58" s="15"/>
      <c r="AT58" s="15"/>
      <c r="AU58" s="15"/>
      <c r="AV58" s="15"/>
      <c r="AW58" s="15"/>
      <c r="AX58" s="43" t="s">
        <v>80</v>
      </c>
      <c r="AY58" s="212" t="s">
        <v>87</v>
      </c>
      <c r="AZ58" s="212"/>
      <c r="BA58" s="29" t="s">
        <v>35</v>
      </c>
      <c r="BB58" s="15" t="str">
        <f t="shared" si="0"/>
        <v>Terlampir</v>
      </c>
      <c r="BC58" s="15"/>
      <c r="BD58" s="15"/>
      <c r="BE58" s="15"/>
      <c r="BF58" s="15"/>
      <c r="BG58" s="15"/>
      <c r="BH58" s="15"/>
      <c r="BI58" s="15"/>
      <c r="BJ58" s="43" t="s">
        <v>80</v>
      </c>
      <c r="BK58" s="212" t="s">
        <v>87</v>
      </c>
      <c r="BL58" s="212"/>
      <c r="BM58" s="29" t="s">
        <v>35</v>
      </c>
      <c r="BN58" s="15"/>
      <c r="BO58" s="15"/>
      <c r="BP58" s="15"/>
      <c r="BQ58" s="15"/>
      <c r="BR58" s="15"/>
      <c r="BS58" s="15"/>
      <c r="BT58" s="15"/>
    </row>
    <row r="59" spans="1:72" ht="15" customHeight="1" x14ac:dyDescent="0.3">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row>
    <row r="60" spans="1:72" ht="15" customHeight="1" x14ac:dyDescent="0.3">
      <c r="B60" s="41" t="s">
        <v>82</v>
      </c>
      <c r="C60" s="41"/>
      <c r="D60" s="41">
        <v>2008</v>
      </c>
      <c r="E60" s="29"/>
      <c r="N60" s="161" t="s">
        <v>82</v>
      </c>
      <c r="O60" s="161"/>
      <c r="P60" s="41">
        <v>2008</v>
      </c>
      <c r="Q60" s="29"/>
      <c r="R60" s="15"/>
      <c r="S60" s="15"/>
      <c r="T60" s="15"/>
      <c r="U60" s="15"/>
      <c r="V60" s="15"/>
      <c r="W60" s="15"/>
      <c r="X60" s="15"/>
      <c r="Y60" s="15"/>
      <c r="Z60" s="161" t="s">
        <v>82</v>
      </c>
      <c r="AA60" s="161"/>
      <c r="AB60" s="41">
        <f>P60</f>
        <v>2008</v>
      </c>
      <c r="AC60" s="29"/>
      <c r="AD60" s="15"/>
      <c r="AE60" s="15"/>
      <c r="AF60" s="15"/>
      <c r="AG60" s="15"/>
      <c r="AH60" s="15"/>
      <c r="AI60" s="15"/>
      <c r="AJ60" s="15"/>
      <c r="AK60" s="15"/>
      <c r="AL60" s="161" t="s">
        <v>82</v>
      </c>
      <c r="AM60" s="161"/>
      <c r="AN60" s="41">
        <f>AB60</f>
        <v>2008</v>
      </c>
      <c r="AO60" s="29"/>
      <c r="AP60" s="15"/>
      <c r="AQ60" s="15"/>
      <c r="AR60" s="15"/>
      <c r="AS60" s="15"/>
      <c r="AT60" s="15"/>
      <c r="AU60" s="15"/>
      <c r="AV60" s="15"/>
      <c r="AW60" s="15"/>
      <c r="AX60" s="161" t="s">
        <v>82</v>
      </c>
      <c r="AY60" s="161"/>
      <c r="AZ60" s="41">
        <v>2009</v>
      </c>
      <c r="BA60" s="29"/>
      <c r="BB60" s="15"/>
      <c r="BC60" s="15"/>
      <c r="BD60" s="15"/>
      <c r="BE60" s="15"/>
      <c r="BF60" s="15"/>
      <c r="BG60" s="15"/>
      <c r="BH60" s="15"/>
      <c r="BI60" s="15"/>
      <c r="BJ60" s="161" t="s">
        <v>82</v>
      </c>
      <c r="BK60" s="161"/>
      <c r="BL60" s="41">
        <v>2009</v>
      </c>
      <c r="BM60" s="29"/>
      <c r="BN60" s="15"/>
      <c r="BO60" s="15"/>
      <c r="BP60" s="15"/>
      <c r="BQ60" s="15"/>
      <c r="BR60" s="15"/>
      <c r="BS60" s="15"/>
      <c r="BT60" s="15"/>
    </row>
    <row r="61" spans="1:72" ht="15" customHeight="1" x14ac:dyDescent="0.3">
      <c r="B61" s="43" t="s">
        <v>28</v>
      </c>
      <c r="C61" s="42" t="s">
        <v>71</v>
      </c>
      <c r="D61" s="42"/>
      <c r="E61" s="29" t="s">
        <v>35</v>
      </c>
      <c r="F61" s="15" t="s">
        <v>245</v>
      </c>
      <c r="N61" s="43" t="s">
        <v>28</v>
      </c>
      <c r="O61" s="212" t="s">
        <v>71</v>
      </c>
      <c r="P61" s="212"/>
      <c r="Q61" s="29" t="s">
        <v>35</v>
      </c>
      <c r="R61" s="15" t="str">
        <f t="shared" si="5"/>
        <v>Perencanaan Pembukaan Jalan Poboya</v>
      </c>
      <c r="S61" s="15"/>
      <c r="T61" s="15"/>
      <c r="U61" s="15"/>
      <c r="V61" s="15"/>
      <c r="W61" s="15"/>
      <c r="X61" s="15"/>
      <c r="Y61" s="15"/>
      <c r="Z61" s="43" t="s">
        <v>28</v>
      </c>
      <c r="AA61" s="212" t="s">
        <v>71</v>
      </c>
      <c r="AB61" s="212"/>
      <c r="AC61" s="29" t="s">
        <v>35</v>
      </c>
      <c r="AD61" s="15" t="str">
        <f t="shared" si="1"/>
        <v>Perencanaan Pembukaan Jalan Poboya</v>
      </c>
      <c r="AE61" s="15"/>
      <c r="AF61" s="15"/>
      <c r="AG61" s="15"/>
      <c r="AH61" s="15"/>
      <c r="AI61" s="15"/>
      <c r="AJ61" s="15"/>
      <c r="AK61" s="15"/>
      <c r="AL61" s="43" t="s">
        <v>28</v>
      </c>
      <c r="AM61" s="212" t="s">
        <v>71</v>
      </c>
      <c r="AN61" s="212"/>
      <c r="AO61" s="29" t="s">
        <v>35</v>
      </c>
      <c r="AP61" s="15" t="str">
        <f t="shared" si="2"/>
        <v>Perencanaan Pembukaan Jalan Poboya</v>
      </c>
      <c r="AQ61" s="15"/>
      <c r="AR61" s="15"/>
      <c r="AS61" s="15"/>
      <c r="AT61" s="15"/>
      <c r="AU61" s="15"/>
      <c r="AV61" s="15"/>
      <c r="AW61" s="15"/>
      <c r="AX61" s="43" t="s">
        <v>28</v>
      </c>
      <c r="AY61" s="212" t="s">
        <v>71</v>
      </c>
      <c r="AZ61" s="212"/>
      <c r="BA61" s="29" t="s">
        <v>35</v>
      </c>
      <c r="BB61" s="15" t="str">
        <f t="shared" si="0"/>
        <v>Perencanaan Pembukaan Jalan Poboya</v>
      </c>
      <c r="BC61" s="15"/>
      <c r="BD61" s="15"/>
      <c r="BE61" s="15"/>
      <c r="BF61" s="15"/>
      <c r="BG61" s="15"/>
      <c r="BH61" s="15"/>
      <c r="BI61" s="15"/>
      <c r="BJ61" s="43" t="s">
        <v>28</v>
      </c>
      <c r="BK61" s="212" t="s">
        <v>71</v>
      </c>
      <c r="BL61" s="212"/>
      <c r="BM61" s="29" t="s">
        <v>35</v>
      </c>
      <c r="BN61" s="15"/>
      <c r="BO61" s="15"/>
      <c r="BP61" s="15"/>
      <c r="BQ61" s="15"/>
      <c r="BR61" s="15"/>
      <c r="BS61" s="15"/>
      <c r="BT61" s="15"/>
    </row>
    <row r="62" spans="1:72" ht="15" customHeight="1" x14ac:dyDescent="0.3">
      <c r="B62" s="43" t="s">
        <v>73</v>
      </c>
      <c r="C62" s="42" t="s">
        <v>21</v>
      </c>
      <c r="D62" s="42"/>
      <c r="E62" s="29" t="s">
        <v>35</v>
      </c>
      <c r="F62" s="15" t="s">
        <v>99</v>
      </c>
      <c r="N62" s="43" t="s">
        <v>73</v>
      </c>
      <c r="O62" s="212" t="s">
        <v>21</v>
      </c>
      <c r="P62" s="212"/>
      <c r="Q62" s="29" t="s">
        <v>35</v>
      </c>
      <c r="R62" s="15" t="str">
        <f t="shared" si="5"/>
        <v>Kab. Donggala</v>
      </c>
      <c r="S62" s="15"/>
      <c r="T62" s="15"/>
      <c r="U62" s="15"/>
      <c r="V62" s="15"/>
      <c r="W62" s="15"/>
      <c r="X62" s="15"/>
      <c r="Y62" s="15"/>
      <c r="Z62" s="43" t="s">
        <v>73</v>
      </c>
      <c r="AA62" s="212" t="s">
        <v>21</v>
      </c>
      <c r="AB62" s="212"/>
      <c r="AC62" s="29" t="s">
        <v>35</v>
      </c>
      <c r="AD62" s="15" t="str">
        <f t="shared" si="1"/>
        <v>Kab. Donggala</v>
      </c>
      <c r="AE62" s="15"/>
      <c r="AF62" s="15"/>
      <c r="AG62" s="15"/>
      <c r="AH62" s="15"/>
      <c r="AI62" s="15"/>
      <c r="AJ62" s="15"/>
      <c r="AK62" s="15"/>
      <c r="AL62" s="43" t="s">
        <v>73</v>
      </c>
      <c r="AM62" s="212" t="s">
        <v>21</v>
      </c>
      <c r="AN62" s="212"/>
      <c r="AO62" s="29" t="s">
        <v>35</v>
      </c>
      <c r="AP62" s="15" t="str">
        <f t="shared" si="2"/>
        <v>Kab. Donggala</v>
      </c>
      <c r="AQ62" s="15"/>
      <c r="AR62" s="15"/>
      <c r="AS62" s="15"/>
      <c r="AT62" s="15"/>
      <c r="AU62" s="15"/>
      <c r="AV62" s="15"/>
      <c r="AW62" s="15"/>
      <c r="AX62" s="43" t="s">
        <v>73</v>
      </c>
      <c r="AY62" s="212" t="s">
        <v>21</v>
      </c>
      <c r="AZ62" s="212"/>
      <c r="BA62" s="29" t="s">
        <v>35</v>
      </c>
      <c r="BB62" s="15" t="str">
        <f t="shared" si="0"/>
        <v>Kab. Donggala</v>
      </c>
      <c r="BC62" s="15"/>
      <c r="BD62" s="15"/>
      <c r="BE62" s="15"/>
      <c r="BF62" s="15"/>
      <c r="BG62" s="15"/>
      <c r="BH62" s="15"/>
      <c r="BI62" s="15"/>
      <c r="BJ62" s="43" t="s">
        <v>73</v>
      </c>
      <c r="BK62" s="212" t="s">
        <v>21</v>
      </c>
      <c r="BL62" s="212"/>
      <c r="BM62" s="29" t="s">
        <v>35</v>
      </c>
      <c r="BN62" s="15"/>
      <c r="BO62" s="15"/>
      <c r="BP62" s="15"/>
      <c r="BQ62" s="15"/>
      <c r="BR62" s="15"/>
      <c r="BS62" s="15"/>
      <c r="BT62" s="15"/>
    </row>
    <row r="63" spans="1:72" ht="15" customHeight="1" x14ac:dyDescent="0.3">
      <c r="B63" s="43" t="s">
        <v>74</v>
      </c>
      <c r="C63" s="42" t="s">
        <v>83</v>
      </c>
      <c r="D63" s="42"/>
      <c r="E63" s="29" t="s">
        <v>35</v>
      </c>
      <c r="F63" s="15" t="s">
        <v>100</v>
      </c>
      <c r="N63" s="43" t="s">
        <v>74</v>
      </c>
      <c r="O63" s="212" t="s">
        <v>83</v>
      </c>
      <c r="P63" s="212"/>
      <c r="Q63" s="29" t="s">
        <v>35</v>
      </c>
      <c r="R63" s="15" t="str">
        <f t="shared" si="5"/>
        <v>Dinas PU Kab. Donggala</v>
      </c>
      <c r="S63" s="15"/>
      <c r="T63" s="15"/>
      <c r="U63" s="15"/>
      <c r="V63" s="15"/>
      <c r="W63" s="15"/>
      <c r="X63" s="15"/>
      <c r="Y63" s="15"/>
      <c r="Z63" s="43" t="s">
        <v>74</v>
      </c>
      <c r="AA63" s="212" t="s">
        <v>83</v>
      </c>
      <c r="AB63" s="212"/>
      <c r="AC63" s="29" t="s">
        <v>35</v>
      </c>
      <c r="AD63" s="15" t="str">
        <f t="shared" si="1"/>
        <v>Dinas PU Kab. Donggala</v>
      </c>
      <c r="AE63" s="15"/>
      <c r="AF63" s="15"/>
      <c r="AG63" s="15"/>
      <c r="AH63" s="15"/>
      <c r="AI63" s="15"/>
      <c r="AJ63" s="15"/>
      <c r="AK63" s="15"/>
      <c r="AL63" s="43" t="s">
        <v>74</v>
      </c>
      <c r="AM63" s="212" t="s">
        <v>83</v>
      </c>
      <c r="AN63" s="212"/>
      <c r="AO63" s="29" t="s">
        <v>35</v>
      </c>
      <c r="AP63" s="15" t="str">
        <f t="shared" si="2"/>
        <v>Dinas PU Kab. Donggala</v>
      </c>
      <c r="AQ63" s="15"/>
      <c r="AR63" s="15"/>
      <c r="AS63" s="15"/>
      <c r="AT63" s="15"/>
      <c r="AU63" s="15"/>
      <c r="AV63" s="15"/>
      <c r="AW63" s="15"/>
      <c r="AX63" s="43" t="s">
        <v>74</v>
      </c>
      <c r="AY63" s="212" t="s">
        <v>83</v>
      </c>
      <c r="AZ63" s="212"/>
      <c r="BA63" s="29" t="s">
        <v>35</v>
      </c>
      <c r="BB63" s="15" t="str">
        <f t="shared" si="0"/>
        <v>Dinas PU Kab. Donggala</v>
      </c>
      <c r="BC63" s="15"/>
      <c r="BD63" s="15"/>
      <c r="BE63" s="15"/>
      <c r="BF63" s="15"/>
      <c r="BG63" s="15"/>
      <c r="BH63" s="15"/>
      <c r="BI63" s="15"/>
      <c r="BJ63" s="43" t="s">
        <v>74</v>
      </c>
      <c r="BK63" s="212" t="s">
        <v>83</v>
      </c>
      <c r="BL63" s="212"/>
      <c r="BM63" s="29" t="s">
        <v>35</v>
      </c>
      <c r="BN63" s="15"/>
      <c r="BO63" s="15"/>
      <c r="BP63" s="15"/>
      <c r="BQ63" s="15"/>
      <c r="BR63" s="15"/>
      <c r="BS63" s="15"/>
      <c r="BT63" s="15"/>
    </row>
    <row r="64" spans="1:72" ht="15" customHeight="1" x14ac:dyDescent="0.3">
      <c r="B64" s="43" t="s">
        <v>75</v>
      </c>
      <c r="C64" s="42" t="s">
        <v>61</v>
      </c>
      <c r="D64" s="42"/>
      <c r="E64" s="29" t="s">
        <v>35</v>
      </c>
      <c r="F64" s="15" t="str">
        <f>F49</f>
        <v>CV. Adicipta Nusatama</v>
      </c>
      <c r="N64" s="43" t="s">
        <v>75</v>
      </c>
      <c r="O64" s="212" t="s">
        <v>61</v>
      </c>
      <c r="P64" s="212"/>
      <c r="Q64" s="29" t="s">
        <v>35</v>
      </c>
      <c r="R64" s="15" t="str">
        <f t="shared" si="5"/>
        <v>CV. Adicipta Nusatama</v>
      </c>
      <c r="S64" s="15"/>
      <c r="T64" s="15"/>
      <c r="U64" s="15"/>
      <c r="V64" s="15"/>
      <c r="W64" s="15"/>
      <c r="X64" s="15"/>
      <c r="Y64" s="15"/>
      <c r="Z64" s="43" t="s">
        <v>75</v>
      </c>
      <c r="AA64" s="212" t="s">
        <v>61</v>
      </c>
      <c r="AB64" s="212"/>
      <c r="AC64" s="29" t="s">
        <v>35</v>
      </c>
      <c r="AD64" s="15" t="str">
        <f t="shared" si="1"/>
        <v>CV. Adicipta Nusatama</v>
      </c>
      <c r="AE64" s="15"/>
      <c r="AF64" s="15"/>
      <c r="AG64" s="15"/>
      <c r="AH64" s="15"/>
      <c r="AI64" s="15"/>
      <c r="AJ64" s="15"/>
      <c r="AK64" s="15"/>
      <c r="AL64" s="43" t="s">
        <v>75</v>
      </c>
      <c r="AM64" s="212" t="s">
        <v>61</v>
      </c>
      <c r="AN64" s="212"/>
      <c r="AO64" s="29" t="s">
        <v>35</v>
      </c>
      <c r="AP64" s="15" t="str">
        <f t="shared" si="2"/>
        <v>CV. Adicipta Nusatama</v>
      </c>
      <c r="AQ64" s="15"/>
      <c r="AR64" s="15"/>
      <c r="AS64" s="15"/>
      <c r="AT64" s="15"/>
      <c r="AU64" s="15"/>
      <c r="AV64" s="15"/>
      <c r="AW64" s="15"/>
      <c r="AX64" s="43" t="s">
        <v>75</v>
      </c>
      <c r="AY64" s="212" t="s">
        <v>61</v>
      </c>
      <c r="AZ64" s="212"/>
      <c r="BA64" s="29" t="s">
        <v>35</v>
      </c>
      <c r="BB64" s="15" t="str">
        <f t="shared" si="0"/>
        <v>CV. Adicipta Nusatama</v>
      </c>
      <c r="BC64" s="15"/>
      <c r="BD64" s="15"/>
      <c r="BE64" s="15"/>
      <c r="BF64" s="15"/>
      <c r="BG64" s="15"/>
      <c r="BH64" s="15"/>
      <c r="BI64" s="15"/>
      <c r="BJ64" s="43" t="s">
        <v>75</v>
      </c>
      <c r="BK64" s="212" t="s">
        <v>61</v>
      </c>
      <c r="BL64" s="212"/>
      <c r="BM64" s="29" t="s">
        <v>35</v>
      </c>
      <c r="BN64" s="15"/>
      <c r="BO64" s="15"/>
      <c r="BP64" s="15"/>
      <c r="BQ64" s="15"/>
      <c r="BR64" s="15"/>
      <c r="BS64" s="15"/>
      <c r="BT64" s="15"/>
    </row>
    <row r="65" spans="1:72" s="59" customFormat="1" ht="35.1" customHeight="1" x14ac:dyDescent="0.3">
      <c r="A65" s="79"/>
      <c r="B65" s="76" t="s">
        <v>32</v>
      </c>
      <c r="C65" s="77" t="s">
        <v>84</v>
      </c>
      <c r="D65" s="77"/>
      <c r="E65" s="78" t="s">
        <v>35</v>
      </c>
      <c r="F65" s="216" t="s">
        <v>208</v>
      </c>
      <c r="G65" s="216"/>
      <c r="H65" s="216"/>
      <c r="I65" s="216"/>
      <c r="J65" s="216"/>
      <c r="K65" s="216"/>
      <c r="L65" s="216"/>
      <c r="M65" s="79"/>
      <c r="N65" s="76" t="s">
        <v>214</v>
      </c>
      <c r="O65" s="213" t="s">
        <v>84</v>
      </c>
      <c r="P65" s="213"/>
      <c r="Q65" s="78" t="s">
        <v>35</v>
      </c>
      <c r="R65" s="216" t="s">
        <v>210</v>
      </c>
      <c r="S65" s="216"/>
      <c r="T65" s="216"/>
      <c r="U65" s="216"/>
      <c r="V65" s="216"/>
      <c r="W65" s="216"/>
      <c r="X65" s="216"/>
      <c r="Y65" s="79"/>
      <c r="Z65" s="76" t="s">
        <v>215</v>
      </c>
      <c r="AA65" s="213" t="s">
        <v>84</v>
      </c>
      <c r="AB65" s="213"/>
      <c r="AC65" s="78" t="s">
        <v>35</v>
      </c>
      <c r="AD65" s="216" t="s">
        <v>210</v>
      </c>
      <c r="AE65" s="216"/>
      <c r="AF65" s="216"/>
      <c r="AG65" s="216"/>
      <c r="AH65" s="216"/>
      <c r="AI65" s="216"/>
      <c r="AJ65" s="216"/>
      <c r="AK65" s="79"/>
      <c r="AL65" s="76" t="s">
        <v>76</v>
      </c>
      <c r="AM65" s="213" t="s">
        <v>84</v>
      </c>
      <c r="AN65" s="213"/>
      <c r="AO65" s="78" t="s">
        <v>35</v>
      </c>
      <c r="AP65" s="216" t="s">
        <v>210</v>
      </c>
      <c r="AQ65" s="216"/>
      <c r="AR65" s="216"/>
      <c r="AS65" s="216"/>
      <c r="AT65" s="216"/>
      <c r="AU65" s="216"/>
      <c r="AV65" s="216"/>
      <c r="AW65" s="79"/>
      <c r="AX65" s="76" t="s">
        <v>76</v>
      </c>
      <c r="AY65" s="213" t="s">
        <v>84</v>
      </c>
      <c r="AZ65" s="213"/>
      <c r="BA65" s="78" t="s">
        <v>35</v>
      </c>
      <c r="BB65" s="216" t="s">
        <v>210</v>
      </c>
      <c r="BC65" s="216"/>
      <c r="BD65" s="216"/>
      <c r="BE65" s="216"/>
      <c r="BF65" s="216"/>
      <c r="BG65" s="216"/>
      <c r="BH65" s="216"/>
      <c r="BI65" s="79"/>
      <c r="BJ65" s="76" t="s">
        <v>76</v>
      </c>
      <c r="BK65" s="213" t="s">
        <v>84</v>
      </c>
      <c r="BL65" s="213"/>
      <c r="BM65" s="78" t="s">
        <v>35</v>
      </c>
      <c r="BN65" s="79"/>
      <c r="BO65" s="79"/>
      <c r="BP65" s="79"/>
      <c r="BQ65" s="79"/>
      <c r="BR65" s="79"/>
      <c r="BS65" s="79"/>
      <c r="BT65" s="79"/>
    </row>
    <row r="66" spans="1:72" ht="35.1" customHeight="1" x14ac:dyDescent="0.3">
      <c r="B66" s="43"/>
      <c r="C66" s="42"/>
      <c r="D66" s="42"/>
      <c r="E66" s="29"/>
      <c r="F66" s="216" t="s">
        <v>205</v>
      </c>
      <c r="G66" s="216"/>
      <c r="H66" s="216"/>
      <c r="I66" s="216"/>
      <c r="J66" s="216"/>
      <c r="K66" s="216"/>
      <c r="L66" s="216"/>
      <c r="N66" s="43"/>
      <c r="O66" s="42"/>
      <c r="P66" s="42"/>
      <c r="Q66" s="29"/>
      <c r="R66" s="216" t="s">
        <v>211</v>
      </c>
      <c r="S66" s="216"/>
      <c r="T66" s="216"/>
      <c r="U66" s="216"/>
      <c r="V66" s="216"/>
      <c r="W66" s="216"/>
      <c r="X66" s="216"/>
      <c r="Y66" s="15"/>
      <c r="Z66" s="43"/>
      <c r="AA66" s="42"/>
      <c r="AB66" s="42"/>
      <c r="AC66" s="29"/>
      <c r="AD66" s="216" t="s">
        <v>211</v>
      </c>
      <c r="AE66" s="216"/>
      <c r="AF66" s="216"/>
      <c r="AG66" s="216"/>
      <c r="AH66" s="216"/>
      <c r="AI66" s="216"/>
      <c r="AJ66" s="216"/>
      <c r="AK66" s="15"/>
      <c r="AL66" s="43"/>
      <c r="AM66" s="42"/>
      <c r="AN66" s="42"/>
      <c r="AO66" s="29"/>
      <c r="AP66" s="216" t="s">
        <v>211</v>
      </c>
      <c r="AQ66" s="216"/>
      <c r="AR66" s="216"/>
      <c r="AS66" s="216"/>
      <c r="AT66" s="216"/>
      <c r="AU66" s="216"/>
      <c r="AV66" s="216"/>
      <c r="AW66" s="15"/>
      <c r="AX66" s="43"/>
      <c r="AY66" s="42"/>
      <c r="AZ66" s="42"/>
      <c r="BA66" s="29"/>
      <c r="BB66" s="216" t="s">
        <v>211</v>
      </c>
      <c r="BC66" s="216"/>
      <c r="BD66" s="216"/>
      <c r="BE66" s="216"/>
      <c r="BF66" s="216"/>
      <c r="BG66" s="216"/>
      <c r="BH66" s="216"/>
      <c r="BI66" s="15"/>
      <c r="BJ66" s="43"/>
      <c r="BK66" s="42"/>
      <c r="BL66" s="42"/>
      <c r="BM66" s="29"/>
      <c r="BN66" s="15"/>
      <c r="BO66" s="15"/>
      <c r="BP66" s="15"/>
      <c r="BQ66" s="15"/>
      <c r="BR66" s="15"/>
      <c r="BS66" s="15"/>
      <c r="BT66" s="15"/>
    </row>
    <row r="67" spans="1:72" ht="35.1" customHeight="1" x14ac:dyDescent="0.3">
      <c r="B67" s="43"/>
      <c r="C67" s="42"/>
      <c r="D67" s="42"/>
      <c r="E67" s="29"/>
      <c r="F67" s="216" t="s">
        <v>206</v>
      </c>
      <c r="G67" s="216"/>
      <c r="H67" s="216"/>
      <c r="I67" s="216"/>
      <c r="J67" s="216"/>
      <c r="K67" s="216"/>
      <c r="L67" s="216"/>
      <c r="N67" s="43"/>
      <c r="O67" s="42"/>
      <c r="P67" s="42"/>
      <c r="Q67" s="29"/>
      <c r="R67" s="216" t="s">
        <v>212</v>
      </c>
      <c r="S67" s="216"/>
      <c r="T67" s="216"/>
      <c r="U67" s="216"/>
      <c r="V67" s="216"/>
      <c r="W67" s="216"/>
      <c r="X67" s="216"/>
      <c r="Y67" s="15"/>
      <c r="Z67" s="43"/>
      <c r="AA67" s="42"/>
      <c r="AB67" s="42"/>
      <c r="AC67" s="29"/>
      <c r="AD67" s="216" t="s">
        <v>212</v>
      </c>
      <c r="AE67" s="216"/>
      <c r="AF67" s="216"/>
      <c r="AG67" s="216"/>
      <c r="AH67" s="216"/>
      <c r="AI67" s="216"/>
      <c r="AJ67" s="216"/>
      <c r="AK67" s="15"/>
      <c r="AL67" s="43"/>
      <c r="AM67" s="42"/>
      <c r="AN67" s="42"/>
      <c r="AO67" s="29"/>
      <c r="AP67" s="216" t="s">
        <v>212</v>
      </c>
      <c r="AQ67" s="216"/>
      <c r="AR67" s="216"/>
      <c r="AS67" s="216"/>
      <c r="AT67" s="216"/>
      <c r="AU67" s="216"/>
      <c r="AV67" s="216"/>
      <c r="AW67" s="15"/>
      <c r="AX67" s="43"/>
      <c r="AY67" s="42"/>
      <c r="AZ67" s="42"/>
      <c r="BA67" s="29"/>
      <c r="BB67" s="216" t="s">
        <v>212</v>
      </c>
      <c r="BC67" s="216"/>
      <c r="BD67" s="216"/>
      <c r="BE67" s="216"/>
      <c r="BF67" s="216"/>
      <c r="BG67" s="216"/>
      <c r="BH67" s="216"/>
      <c r="BI67" s="15"/>
      <c r="BJ67" s="43"/>
      <c r="BK67" s="42"/>
      <c r="BL67" s="42"/>
      <c r="BM67" s="29"/>
      <c r="BN67" s="15"/>
      <c r="BO67" s="15"/>
      <c r="BP67" s="15"/>
      <c r="BQ67" s="15"/>
      <c r="BR67" s="15"/>
      <c r="BS67" s="15"/>
      <c r="BT67" s="15"/>
    </row>
    <row r="68" spans="1:72" ht="35.1" customHeight="1" x14ac:dyDescent="0.3">
      <c r="B68" s="43"/>
      <c r="C68" s="42"/>
      <c r="D68" s="42"/>
      <c r="E68" s="29"/>
      <c r="F68" s="216" t="s">
        <v>207</v>
      </c>
      <c r="G68" s="216"/>
      <c r="H68" s="216"/>
      <c r="I68" s="216"/>
      <c r="J68" s="216"/>
      <c r="K68" s="216"/>
      <c r="L68" s="216"/>
      <c r="N68" s="43"/>
      <c r="O68" s="42"/>
      <c r="P68" s="42"/>
      <c r="Q68" s="29"/>
      <c r="R68" s="216" t="s">
        <v>207</v>
      </c>
      <c r="S68" s="216"/>
      <c r="T68" s="216"/>
      <c r="U68" s="216"/>
      <c r="V68" s="216"/>
      <c r="W68" s="216"/>
      <c r="X68" s="216"/>
      <c r="Y68" s="15"/>
      <c r="Z68" s="43"/>
      <c r="AA68" s="42"/>
      <c r="AB68" s="42"/>
      <c r="AC68" s="29"/>
      <c r="AD68" s="216" t="s">
        <v>207</v>
      </c>
      <c r="AE68" s="216"/>
      <c r="AF68" s="216"/>
      <c r="AG68" s="216"/>
      <c r="AH68" s="216"/>
      <c r="AI68" s="216"/>
      <c r="AJ68" s="216"/>
      <c r="AK68" s="15"/>
      <c r="AL68" s="43"/>
      <c r="AM68" s="42"/>
      <c r="AN68" s="42"/>
      <c r="AO68" s="29"/>
      <c r="AP68" s="216" t="s">
        <v>207</v>
      </c>
      <c r="AQ68" s="216"/>
      <c r="AR68" s="216"/>
      <c r="AS68" s="216"/>
      <c r="AT68" s="216"/>
      <c r="AU68" s="216"/>
      <c r="AV68" s="216"/>
      <c r="AW68" s="15"/>
      <c r="AX68" s="43"/>
      <c r="AY68" s="42"/>
      <c r="AZ68" s="42"/>
      <c r="BA68" s="29"/>
      <c r="BB68" s="216" t="s">
        <v>207</v>
      </c>
      <c r="BC68" s="216"/>
      <c r="BD68" s="216"/>
      <c r="BE68" s="216"/>
      <c r="BF68" s="216"/>
      <c r="BG68" s="216"/>
      <c r="BH68" s="216"/>
      <c r="BI68" s="15"/>
      <c r="BJ68" s="43"/>
      <c r="BK68" s="42"/>
      <c r="BL68" s="42"/>
      <c r="BM68" s="29"/>
      <c r="BN68" s="15"/>
      <c r="BO68" s="15"/>
      <c r="BP68" s="15"/>
      <c r="BQ68" s="15"/>
      <c r="BR68" s="15"/>
      <c r="BS68" s="15"/>
      <c r="BT68" s="15"/>
    </row>
    <row r="69" spans="1:72" ht="35.1" customHeight="1" x14ac:dyDescent="0.3">
      <c r="B69" s="43"/>
      <c r="C69" s="42"/>
      <c r="D69" s="42"/>
      <c r="E69" s="29"/>
      <c r="F69" s="216" t="s">
        <v>209</v>
      </c>
      <c r="G69" s="216"/>
      <c r="H69" s="216"/>
      <c r="I69" s="216"/>
      <c r="J69" s="216"/>
      <c r="K69" s="216"/>
      <c r="L69" s="216"/>
      <c r="N69" s="43"/>
      <c r="O69" s="42"/>
      <c r="P69" s="42"/>
      <c r="Q69" s="29"/>
      <c r="R69" s="216" t="s">
        <v>213</v>
      </c>
      <c r="S69" s="216"/>
      <c r="T69" s="216"/>
      <c r="U69" s="216"/>
      <c r="V69" s="216"/>
      <c r="W69" s="216"/>
      <c r="X69" s="216"/>
      <c r="Y69" s="15"/>
      <c r="Z69" s="43"/>
      <c r="AA69" s="42"/>
      <c r="AB69" s="42"/>
      <c r="AC69" s="29"/>
      <c r="AD69" s="216" t="s">
        <v>213</v>
      </c>
      <c r="AE69" s="216"/>
      <c r="AF69" s="216"/>
      <c r="AG69" s="216"/>
      <c r="AH69" s="216"/>
      <c r="AI69" s="216"/>
      <c r="AJ69" s="216"/>
      <c r="AK69" s="15"/>
      <c r="AL69" s="43"/>
      <c r="AM69" s="42"/>
      <c r="AN69" s="42"/>
      <c r="AO69" s="29"/>
      <c r="AP69" s="216" t="s">
        <v>213</v>
      </c>
      <c r="AQ69" s="216"/>
      <c r="AR69" s="216"/>
      <c r="AS69" s="216"/>
      <c r="AT69" s="216"/>
      <c r="AU69" s="216"/>
      <c r="AV69" s="216"/>
      <c r="AW69" s="15"/>
      <c r="AX69" s="43"/>
      <c r="AY69" s="42"/>
      <c r="AZ69" s="42"/>
      <c r="BA69" s="29"/>
      <c r="BB69" s="216" t="s">
        <v>213</v>
      </c>
      <c r="BC69" s="216"/>
      <c r="BD69" s="216"/>
      <c r="BE69" s="216"/>
      <c r="BF69" s="216"/>
      <c r="BG69" s="216"/>
      <c r="BH69" s="216"/>
      <c r="BI69" s="15"/>
      <c r="BJ69" s="43"/>
      <c r="BK69" s="42"/>
      <c r="BL69" s="42"/>
      <c r="BM69" s="29"/>
      <c r="BN69" s="15"/>
      <c r="BO69" s="15"/>
      <c r="BP69" s="15"/>
      <c r="BQ69" s="15"/>
      <c r="BR69" s="15"/>
      <c r="BS69" s="15"/>
      <c r="BT69" s="15"/>
    </row>
    <row r="70" spans="1:72" ht="15" customHeight="1" x14ac:dyDescent="0.3">
      <c r="B70" s="43" t="s">
        <v>77</v>
      </c>
      <c r="C70" s="42" t="s">
        <v>23</v>
      </c>
      <c r="D70" s="42"/>
      <c r="E70" s="29" t="s">
        <v>35</v>
      </c>
      <c r="F70" s="15" t="s">
        <v>102</v>
      </c>
      <c r="N70" s="43" t="s">
        <v>77</v>
      </c>
      <c r="O70" s="212" t="s">
        <v>23</v>
      </c>
      <c r="P70" s="212"/>
      <c r="Q70" s="29" t="s">
        <v>35</v>
      </c>
      <c r="R70" s="15" t="str">
        <f t="shared" si="5"/>
        <v>14 April 2008 - 14 Juli 2008</v>
      </c>
      <c r="S70" s="15"/>
      <c r="T70" s="15"/>
      <c r="U70" s="15"/>
      <c r="V70" s="15"/>
      <c r="W70" s="15"/>
      <c r="X70" s="15"/>
      <c r="Y70" s="15"/>
      <c r="Z70" s="43" t="s">
        <v>77</v>
      </c>
      <c r="AA70" s="212" t="s">
        <v>23</v>
      </c>
      <c r="AB70" s="212"/>
      <c r="AC70" s="29" t="s">
        <v>35</v>
      </c>
      <c r="AD70" s="15" t="str">
        <f t="shared" si="1"/>
        <v>14 April 2008 - 14 Juli 2008</v>
      </c>
      <c r="AE70" s="15"/>
      <c r="AF70" s="15"/>
      <c r="AG70" s="15"/>
      <c r="AH70" s="15"/>
      <c r="AI70" s="15"/>
      <c r="AJ70" s="15"/>
      <c r="AK70" s="15"/>
      <c r="AL70" s="43" t="s">
        <v>77</v>
      </c>
      <c r="AM70" s="212" t="s">
        <v>23</v>
      </c>
      <c r="AN70" s="212"/>
      <c r="AO70" s="29" t="s">
        <v>35</v>
      </c>
      <c r="AP70" s="15" t="str">
        <f t="shared" si="2"/>
        <v>14 April 2008 - 14 Juli 2008</v>
      </c>
      <c r="AQ70" s="15"/>
      <c r="AR70" s="15"/>
      <c r="AS70" s="15"/>
      <c r="AT70" s="15"/>
      <c r="AU70" s="15"/>
      <c r="AV70" s="15"/>
      <c r="AW70" s="15"/>
      <c r="AX70" s="43" t="s">
        <v>77</v>
      </c>
      <c r="AY70" s="212" t="s">
        <v>23</v>
      </c>
      <c r="AZ70" s="212"/>
      <c r="BA70" s="29" t="s">
        <v>35</v>
      </c>
      <c r="BB70" s="15" t="str">
        <f t="shared" si="0"/>
        <v>14 April 2008 - 14 Juli 2008</v>
      </c>
      <c r="BC70" s="15"/>
      <c r="BD70" s="15"/>
      <c r="BE70" s="15"/>
      <c r="BF70" s="15"/>
      <c r="BG70" s="15"/>
      <c r="BH70" s="15"/>
      <c r="BI70" s="15"/>
      <c r="BJ70" s="43" t="s">
        <v>77</v>
      </c>
      <c r="BK70" s="212" t="s">
        <v>23</v>
      </c>
      <c r="BL70" s="212"/>
      <c r="BM70" s="29" t="s">
        <v>35</v>
      </c>
      <c r="BN70" s="15"/>
      <c r="BO70" s="15"/>
      <c r="BP70" s="15"/>
      <c r="BQ70" s="15"/>
      <c r="BR70" s="15"/>
      <c r="BS70" s="15"/>
      <c r="BT70" s="15"/>
    </row>
    <row r="71" spans="1:72" ht="15" customHeight="1" x14ac:dyDescent="0.3">
      <c r="B71" s="43" t="s">
        <v>78</v>
      </c>
      <c r="C71" s="42" t="s">
        <v>85</v>
      </c>
      <c r="D71" s="42"/>
      <c r="E71" s="29" t="s">
        <v>35</v>
      </c>
      <c r="F71" s="15" t="str">
        <f>F56</f>
        <v>Ketua Tim</v>
      </c>
      <c r="N71" s="43" t="s">
        <v>78</v>
      </c>
      <c r="O71" s="212" t="s">
        <v>85</v>
      </c>
      <c r="P71" s="212"/>
      <c r="Q71" s="29" t="s">
        <v>35</v>
      </c>
      <c r="R71" s="15" t="str">
        <f>R56</f>
        <v>Ahli sipil</v>
      </c>
      <c r="S71" s="15"/>
      <c r="T71" s="15"/>
      <c r="U71" s="15"/>
      <c r="V71" s="15"/>
      <c r="W71" s="15"/>
      <c r="X71" s="15"/>
      <c r="Y71" s="15"/>
      <c r="Z71" s="43" t="s">
        <v>78</v>
      </c>
      <c r="AA71" s="212" t="s">
        <v>85</v>
      </c>
      <c r="AB71" s="212"/>
      <c r="AC71" s="29" t="s">
        <v>35</v>
      </c>
      <c r="AD71" s="15" t="str">
        <f>AD56</f>
        <v>Ahli Arsitektur</v>
      </c>
      <c r="AE71" s="15"/>
      <c r="AF71" s="15"/>
      <c r="AG71" s="15"/>
      <c r="AH71" s="15"/>
      <c r="AI71" s="15"/>
      <c r="AJ71" s="15"/>
      <c r="AK71" s="15"/>
      <c r="AL71" s="43" t="s">
        <v>78</v>
      </c>
      <c r="AM71" s="212" t="s">
        <v>85</v>
      </c>
      <c r="AN71" s="212"/>
      <c r="AO71" s="29" t="s">
        <v>35</v>
      </c>
      <c r="AP71" s="15" t="str">
        <f>AP56</f>
        <v>Ahli Arsitektur</v>
      </c>
      <c r="AQ71" s="15"/>
      <c r="AR71" s="15"/>
      <c r="AS71" s="15"/>
      <c r="AT71" s="15"/>
      <c r="AU71" s="15"/>
      <c r="AV71" s="15"/>
      <c r="AW71" s="15"/>
      <c r="AX71" s="43" t="s">
        <v>78</v>
      </c>
      <c r="AY71" s="212" t="s">
        <v>85</v>
      </c>
      <c r="AZ71" s="212"/>
      <c r="BA71" s="29" t="s">
        <v>35</v>
      </c>
      <c r="BB71" s="15" t="str">
        <f t="shared" si="0"/>
        <v>Ahli Arsitektur</v>
      </c>
      <c r="BC71" s="15"/>
      <c r="BD71" s="15"/>
      <c r="BE71" s="15"/>
      <c r="BF71" s="15"/>
      <c r="BG71" s="15"/>
      <c r="BH71" s="15"/>
      <c r="BI71" s="15"/>
      <c r="BJ71" s="43" t="s">
        <v>78</v>
      </c>
      <c r="BK71" s="212" t="s">
        <v>85</v>
      </c>
      <c r="BL71" s="212"/>
      <c r="BM71" s="29" t="s">
        <v>35</v>
      </c>
      <c r="BN71" s="15"/>
      <c r="BO71" s="15"/>
      <c r="BP71" s="15"/>
      <c r="BQ71" s="15"/>
      <c r="BR71" s="15"/>
      <c r="BS71" s="15"/>
      <c r="BT71" s="15"/>
    </row>
    <row r="72" spans="1:72" ht="15" customHeight="1" x14ac:dyDescent="0.3">
      <c r="B72" s="43" t="s">
        <v>79</v>
      </c>
      <c r="C72" s="42" t="s">
        <v>86</v>
      </c>
      <c r="D72" s="42"/>
      <c r="E72" s="29" t="s">
        <v>35</v>
      </c>
      <c r="F72" s="15" t="s">
        <v>97</v>
      </c>
      <c r="N72" s="43" t="s">
        <v>79</v>
      </c>
      <c r="O72" s="212" t="s">
        <v>86</v>
      </c>
      <c r="P72" s="212"/>
      <c r="Q72" s="29" t="s">
        <v>35</v>
      </c>
      <c r="R72" s="15" t="str">
        <f>R57</f>
        <v>Tenaga Ahli Pendukung</v>
      </c>
      <c r="S72" s="15"/>
      <c r="T72" s="15"/>
      <c r="U72" s="15"/>
      <c r="V72" s="15"/>
      <c r="W72" s="15"/>
      <c r="X72" s="15"/>
      <c r="Y72" s="15"/>
      <c r="Z72" s="43" t="s">
        <v>79</v>
      </c>
      <c r="AA72" s="212" t="s">
        <v>86</v>
      </c>
      <c r="AB72" s="212"/>
      <c r="AC72" s="29" t="s">
        <v>35</v>
      </c>
      <c r="AD72" s="15" t="str">
        <f t="shared" si="1"/>
        <v>Tenaga Ahli Pendukung</v>
      </c>
      <c r="AE72" s="15"/>
      <c r="AF72" s="15"/>
      <c r="AG72" s="15"/>
      <c r="AH72" s="15"/>
      <c r="AI72" s="15"/>
      <c r="AJ72" s="15"/>
      <c r="AK72" s="15"/>
      <c r="AL72" s="43" t="s">
        <v>79</v>
      </c>
      <c r="AM72" s="212" t="s">
        <v>86</v>
      </c>
      <c r="AN72" s="212"/>
      <c r="AO72" s="29" t="s">
        <v>35</v>
      </c>
      <c r="AP72" s="15" t="str">
        <f t="shared" si="2"/>
        <v>Tenaga Ahli Pendukung</v>
      </c>
      <c r="AQ72" s="15"/>
      <c r="AR72" s="15"/>
      <c r="AS72" s="15"/>
      <c r="AT72" s="15"/>
      <c r="AU72" s="15"/>
      <c r="AV72" s="15"/>
      <c r="AW72" s="15"/>
      <c r="AX72" s="43" t="s">
        <v>79</v>
      </c>
      <c r="AY72" s="212" t="s">
        <v>86</v>
      </c>
      <c r="AZ72" s="212"/>
      <c r="BA72" s="29" t="s">
        <v>35</v>
      </c>
      <c r="BB72" s="15" t="str">
        <f t="shared" si="0"/>
        <v>Tenaga Ahli Pendukung</v>
      </c>
      <c r="BC72" s="15"/>
      <c r="BD72" s="15"/>
      <c r="BE72" s="15"/>
      <c r="BF72" s="15"/>
      <c r="BG72" s="15"/>
      <c r="BH72" s="15"/>
      <c r="BI72" s="15"/>
      <c r="BJ72" s="43" t="s">
        <v>79</v>
      </c>
      <c r="BK72" s="212" t="s">
        <v>86</v>
      </c>
      <c r="BL72" s="212"/>
      <c r="BM72" s="29" t="s">
        <v>35</v>
      </c>
      <c r="BN72" s="15"/>
      <c r="BO72" s="15"/>
      <c r="BP72" s="15"/>
      <c r="BQ72" s="15"/>
      <c r="BR72" s="15"/>
      <c r="BS72" s="15"/>
      <c r="BT72" s="15"/>
    </row>
    <row r="73" spans="1:72" ht="15" customHeight="1" x14ac:dyDescent="0.3">
      <c r="B73" s="43" t="s">
        <v>80</v>
      </c>
      <c r="C73" s="42" t="s">
        <v>87</v>
      </c>
      <c r="D73" s="42"/>
      <c r="E73" s="29" t="s">
        <v>35</v>
      </c>
      <c r="F73" s="15" t="str">
        <f>F58</f>
        <v>Terlampir</v>
      </c>
      <c r="N73" s="43" t="s">
        <v>80</v>
      </c>
      <c r="O73" s="212" t="s">
        <v>87</v>
      </c>
      <c r="P73" s="212"/>
      <c r="Q73" s="29" t="s">
        <v>35</v>
      </c>
      <c r="R73" s="15" t="str">
        <f>R58</f>
        <v>Terlampir</v>
      </c>
      <c r="S73" s="15"/>
      <c r="T73" s="15"/>
      <c r="U73" s="15"/>
      <c r="V73" s="15"/>
      <c r="W73" s="15"/>
      <c r="X73" s="15"/>
      <c r="Y73" s="15"/>
      <c r="Z73" s="43" t="s">
        <v>80</v>
      </c>
      <c r="AA73" s="212" t="s">
        <v>87</v>
      </c>
      <c r="AB73" s="212"/>
      <c r="AC73" s="29" t="s">
        <v>35</v>
      </c>
      <c r="AD73" s="15" t="str">
        <f t="shared" si="1"/>
        <v>Terlampir</v>
      </c>
      <c r="AE73" s="15"/>
      <c r="AF73" s="15"/>
      <c r="AG73" s="15"/>
      <c r="AH73" s="15"/>
      <c r="AI73" s="15"/>
      <c r="AJ73" s="15"/>
      <c r="AK73" s="15"/>
      <c r="AL73" s="43" t="s">
        <v>80</v>
      </c>
      <c r="AM73" s="212" t="s">
        <v>87</v>
      </c>
      <c r="AN73" s="212"/>
      <c r="AO73" s="29" t="s">
        <v>35</v>
      </c>
      <c r="AP73" s="15" t="str">
        <f t="shared" si="2"/>
        <v>Terlampir</v>
      </c>
      <c r="AQ73" s="15"/>
      <c r="AR73" s="15"/>
      <c r="AS73" s="15"/>
      <c r="AT73" s="15"/>
      <c r="AU73" s="15"/>
      <c r="AV73" s="15"/>
      <c r="AW73" s="15"/>
      <c r="AX73" s="43" t="s">
        <v>80</v>
      </c>
      <c r="AY73" s="212" t="s">
        <v>87</v>
      </c>
      <c r="AZ73" s="212"/>
      <c r="BA73" s="29" t="s">
        <v>35</v>
      </c>
      <c r="BB73" s="15" t="str">
        <f t="shared" si="0"/>
        <v>Terlampir</v>
      </c>
      <c r="BC73" s="15"/>
      <c r="BD73" s="15"/>
      <c r="BE73" s="15"/>
      <c r="BF73" s="15"/>
      <c r="BG73" s="15"/>
      <c r="BH73" s="15"/>
      <c r="BI73" s="15"/>
      <c r="BJ73" s="43" t="s">
        <v>80</v>
      </c>
      <c r="BK73" s="212" t="s">
        <v>87</v>
      </c>
      <c r="BL73" s="212"/>
      <c r="BM73" s="29" t="s">
        <v>35</v>
      </c>
      <c r="BN73" s="15"/>
      <c r="BO73" s="15"/>
      <c r="BP73" s="15"/>
      <c r="BQ73" s="15"/>
      <c r="BR73" s="15"/>
      <c r="BS73" s="15"/>
      <c r="BT73" s="15"/>
    </row>
    <row r="74" spans="1:72" ht="15" customHeight="1" x14ac:dyDescent="0.3">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row>
    <row r="75" spans="1:72" ht="15" customHeight="1" x14ac:dyDescent="0.3">
      <c r="B75" s="41" t="s">
        <v>82</v>
      </c>
      <c r="C75" s="41"/>
      <c r="D75" s="41">
        <v>2007</v>
      </c>
      <c r="E75" s="29"/>
      <c r="N75" s="161" t="s">
        <v>82</v>
      </c>
      <c r="O75" s="161"/>
      <c r="P75" s="41">
        <v>2007</v>
      </c>
      <c r="Q75" s="29"/>
      <c r="R75" s="15"/>
      <c r="S75" s="15"/>
      <c r="T75" s="15"/>
      <c r="U75" s="15"/>
      <c r="V75" s="15"/>
      <c r="W75" s="15"/>
      <c r="X75" s="15"/>
      <c r="Y75" s="15"/>
      <c r="Z75" s="161" t="s">
        <v>82</v>
      </c>
      <c r="AA75" s="161"/>
      <c r="AB75" s="41">
        <f>P75</f>
        <v>2007</v>
      </c>
      <c r="AC75" s="29"/>
      <c r="AD75" s="15"/>
      <c r="AE75" s="15"/>
      <c r="AF75" s="15"/>
      <c r="AG75" s="15"/>
      <c r="AH75" s="15"/>
      <c r="AI75" s="15"/>
      <c r="AJ75" s="15"/>
      <c r="AK75" s="15"/>
      <c r="AL75" s="161" t="s">
        <v>82</v>
      </c>
      <c r="AM75" s="161"/>
      <c r="AN75" s="41">
        <f>AB75</f>
        <v>2007</v>
      </c>
      <c r="AO75" s="29"/>
      <c r="AP75" s="15"/>
      <c r="AQ75" s="15"/>
      <c r="AR75" s="15"/>
      <c r="AS75" s="15"/>
      <c r="AT75" s="15"/>
      <c r="AU75" s="15"/>
      <c r="AV75" s="15"/>
      <c r="AW75" s="15"/>
      <c r="AX75" s="161" t="s">
        <v>82</v>
      </c>
      <c r="AY75" s="161"/>
      <c r="AZ75" s="41">
        <v>2008</v>
      </c>
      <c r="BA75" s="29"/>
      <c r="BB75" s="15"/>
      <c r="BC75" s="15"/>
      <c r="BD75" s="15"/>
      <c r="BE75" s="15"/>
      <c r="BF75" s="15"/>
      <c r="BG75" s="15"/>
      <c r="BH75" s="15"/>
      <c r="BI75" s="15"/>
      <c r="BJ75" s="161" t="s">
        <v>82</v>
      </c>
      <c r="BK75" s="161"/>
      <c r="BL75" s="41">
        <v>2008</v>
      </c>
      <c r="BM75" s="29"/>
      <c r="BN75" s="15"/>
      <c r="BO75" s="15"/>
      <c r="BP75" s="15"/>
      <c r="BQ75" s="15"/>
      <c r="BR75" s="15"/>
      <c r="BS75" s="15"/>
      <c r="BT75" s="15"/>
    </row>
    <row r="76" spans="1:72" ht="15" customHeight="1" x14ac:dyDescent="0.3">
      <c r="B76" s="43" t="s">
        <v>28</v>
      </c>
      <c r="C76" s="42" t="s">
        <v>71</v>
      </c>
      <c r="D76" s="42"/>
      <c r="E76" s="29" t="s">
        <v>35</v>
      </c>
      <c r="F76" s="15" t="s">
        <v>246</v>
      </c>
      <c r="N76" s="43" t="s">
        <v>28</v>
      </c>
      <c r="O76" s="212" t="s">
        <v>71</v>
      </c>
      <c r="P76" s="212"/>
      <c r="Q76" s="29" t="s">
        <v>35</v>
      </c>
      <c r="R76" s="15" t="str">
        <f t="shared" si="5"/>
        <v>Perencanaan Hotmix Jalan Otista</v>
      </c>
      <c r="S76" s="15"/>
      <c r="T76" s="15"/>
      <c r="U76" s="15"/>
      <c r="V76" s="15"/>
      <c r="W76" s="15"/>
      <c r="X76" s="15"/>
      <c r="Y76" s="15"/>
      <c r="Z76" s="43" t="s">
        <v>28</v>
      </c>
      <c r="AA76" s="212" t="s">
        <v>71</v>
      </c>
      <c r="AB76" s="212"/>
      <c r="AC76" s="29" t="s">
        <v>35</v>
      </c>
      <c r="AD76" s="15" t="str">
        <f t="shared" si="1"/>
        <v>Perencanaan Hotmix Jalan Otista</v>
      </c>
      <c r="AE76" s="15"/>
      <c r="AF76" s="15"/>
      <c r="AG76" s="15"/>
      <c r="AH76" s="15"/>
      <c r="AI76" s="15"/>
      <c r="AJ76" s="15"/>
      <c r="AK76" s="15"/>
      <c r="AL76" s="43" t="s">
        <v>28</v>
      </c>
      <c r="AM76" s="212" t="s">
        <v>71</v>
      </c>
      <c r="AN76" s="212"/>
      <c r="AO76" s="29" t="s">
        <v>35</v>
      </c>
      <c r="AP76" s="15" t="str">
        <f t="shared" si="2"/>
        <v>Perencanaan Hotmix Jalan Otista</v>
      </c>
      <c r="AQ76" s="15"/>
      <c r="AR76" s="15"/>
      <c r="AS76" s="15"/>
      <c r="AT76" s="15"/>
      <c r="AU76" s="15"/>
      <c r="AV76" s="15"/>
      <c r="AW76" s="15"/>
      <c r="AX76" s="43" t="s">
        <v>28</v>
      </c>
      <c r="AY76" s="212" t="s">
        <v>71</v>
      </c>
      <c r="AZ76" s="212"/>
      <c r="BA76" s="29" t="s">
        <v>35</v>
      </c>
      <c r="BB76" s="15" t="str">
        <f t="shared" si="0"/>
        <v>Perencanaan Hotmix Jalan Otista</v>
      </c>
      <c r="BC76" s="15"/>
      <c r="BD76" s="15"/>
      <c r="BE76" s="15"/>
      <c r="BF76" s="15"/>
      <c r="BG76" s="15"/>
      <c r="BH76" s="15"/>
      <c r="BI76" s="15"/>
      <c r="BJ76" s="43" t="s">
        <v>28</v>
      </c>
      <c r="BK76" s="212" t="s">
        <v>71</v>
      </c>
      <c r="BL76" s="212"/>
      <c r="BM76" s="29" t="s">
        <v>35</v>
      </c>
      <c r="BN76" s="15"/>
      <c r="BO76" s="15"/>
      <c r="BP76" s="15"/>
      <c r="BQ76" s="15"/>
      <c r="BR76" s="15"/>
      <c r="BS76" s="15"/>
      <c r="BT76" s="15"/>
    </row>
    <row r="77" spans="1:72" ht="15" customHeight="1" x14ac:dyDescent="0.3">
      <c r="B77" s="43" t="s">
        <v>73</v>
      </c>
      <c r="C77" s="42" t="s">
        <v>21</v>
      </c>
      <c r="D77" s="42"/>
      <c r="E77" s="29" t="s">
        <v>35</v>
      </c>
      <c r="F77" s="15" t="s">
        <v>103</v>
      </c>
      <c r="N77" s="43" t="s">
        <v>73</v>
      </c>
      <c r="O77" s="212" t="s">
        <v>21</v>
      </c>
      <c r="P77" s="212"/>
      <c r="Q77" s="29" t="s">
        <v>35</v>
      </c>
      <c r="R77" s="15" t="str">
        <f t="shared" si="5"/>
        <v>Kota Palu</v>
      </c>
      <c r="S77" s="15"/>
      <c r="T77" s="15"/>
      <c r="U77" s="15"/>
      <c r="V77" s="15"/>
      <c r="W77" s="15"/>
      <c r="X77" s="15"/>
      <c r="Y77" s="15"/>
      <c r="Z77" s="43" t="s">
        <v>73</v>
      </c>
      <c r="AA77" s="212" t="s">
        <v>21</v>
      </c>
      <c r="AB77" s="212"/>
      <c r="AC77" s="29" t="s">
        <v>35</v>
      </c>
      <c r="AD77" s="15" t="str">
        <f t="shared" si="1"/>
        <v>Kota Palu</v>
      </c>
      <c r="AE77" s="15"/>
      <c r="AF77" s="15"/>
      <c r="AG77" s="15"/>
      <c r="AH77" s="15"/>
      <c r="AI77" s="15"/>
      <c r="AJ77" s="15"/>
      <c r="AK77" s="15"/>
      <c r="AL77" s="43" t="s">
        <v>73</v>
      </c>
      <c r="AM77" s="212" t="s">
        <v>21</v>
      </c>
      <c r="AN77" s="212"/>
      <c r="AO77" s="29" t="s">
        <v>35</v>
      </c>
      <c r="AP77" s="15" t="str">
        <f t="shared" si="2"/>
        <v>Kota Palu</v>
      </c>
      <c r="AQ77" s="15"/>
      <c r="AR77" s="15"/>
      <c r="AS77" s="15"/>
      <c r="AT77" s="15"/>
      <c r="AU77" s="15"/>
      <c r="AV77" s="15"/>
      <c r="AW77" s="15"/>
      <c r="AX77" s="43" t="s">
        <v>73</v>
      </c>
      <c r="AY77" s="212" t="s">
        <v>21</v>
      </c>
      <c r="AZ77" s="212"/>
      <c r="BA77" s="29" t="s">
        <v>35</v>
      </c>
      <c r="BB77" s="15" t="str">
        <f t="shared" si="0"/>
        <v>Kota Palu</v>
      </c>
      <c r="BC77" s="15"/>
      <c r="BD77" s="15"/>
      <c r="BE77" s="15"/>
      <c r="BF77" s="15"/>
      <c r="BG77" s="15"/>
      <c r="BH77" s="15"/>
      <c r="BI77" s="15"/>
      <c r="BJ77" s="43" t="s">
        <v>73</v>
      </c>
      <c r="BK77" s="212" t="s">
        <v>21</v>
      </c>
      <c r="BL77" s="212"/>
      <c r="BM77" s="29" t="s">
        <v>35</v>
      </c>
      <c r="BN77" s="15"/>
      <c r="BO77" s="15"/>
      <c r="BP77" s="15"/>
      <c r="BQ77" s="15"/>
      <c r="BR77" s="15"/>
      <c r="BS77" s="15"/>
      <c r="BT77" s="15"/>
    </row>
    <row r="78" spans="1:72" ht="15" customHeight="1" x14ac:dyDescent="0.3">
      <c r="B78" s="43" t="s">
        <v>74</v>
      </c>
      <c r="C78" s="42" t="s">
        <v>83</v>
      </c>
      <c r="D78" s="42"/>
      <c r="E78" s="29" t="s">
        <v>35</v>
      </c>
      <c r="F78" s="15" t="s">
        <v>104</v>
      </c>
      <c r="N78" s="43" t="s">
        <v>74</v>
      </c>
      <c r="O78" s="212" t="s">
        <v>83</v>
      </c>
      <c r="P78" s="212"/>
      <c r="Q78" s="29" t="s">
        <v>35</v>
      </c>
      <c r="R78" s="15" t="str">
        <f t="shared" si="5"/>
        <v>Dinas PU Kota Palu</v>
      </c>
      <c r="S78" s="15"/>
      <c r="T78" s="15"/>
      <c r="U78" s="15"/>
      <c r="V78" s="15"/>
      <c r="W78" s="15"/>
      <c r="X78" s="15"/>
      <c r="Y78" s="15"/>
      <c r="Z78" s="43" t="s">
        <v>74</v>
      </c>
      <c r="AA78" s="212" t="s">
        <v>83</v>
      </c>
      <c r="AB78" s="212"/>
      <c r="AC78" s="29" t="s">
        <v>35</v>
      </c>
      <c r="AD78" s="15" t="str">
        <f t="shared" si="1"/>
        <v>Dinas PU Kota Palu</v>
      </c>
      <c r="AE78" s="15"/>
      <c r="AF78" s="15"/>
      <c r="AG78" s="15"/>
      <c r="AH78" s="15"/>
      <c r="AI78" s="15"/>
      <c r="AJ78" s="15"/>
      <c r="AK78" s="15"/>
      <c r="AL78" s="43" t="s">
        <v>74</v>
      </c>
      <c r="AM78" s="212" t="s">
        <v>83</v>
      </c>
      <c r="AN78" s="212"/>
      <c r="AO78" s="29" t="s">
        <v>35</v>
      </c>
      <c r="AP78" s="15" t="str">
        <f t="shared" si="2"/>
        <v>Dinas PU Kota Palu</v>
      </c>
      <c r="AQ78" s="15"/>
      <c r="AR78" s="15"/>
      <c r="AS78" s="15"/>
      <c r="AT78" s="15"/>
      <c r="AU78" s="15"/>
      <c r="AV78" s="15"/>
      <c r="AW78" s="15"/>
      <c r="AX78" s="43" t="s">
        <v>74</v>
      </c>
      <c r="AY78" s="212" t="s">
        <v>83</v>
      </c>
      <c r="AZ78" s="212"/>
      <c r="BA78" s="29" t="s">
        <v>35</v>
      </c>
      <c r="BB78" s="15" t="str">
        <f t="shared" ref="BB78:BB90" si="6">AP78</f>
        <v>Dinas PU Kota Palu</v>
      </c>
      <c r="BC78" s="15"/>
      <c r="BD78" s="15"/>
      <c r="BE78" s="15"/>
      <c r="BF78" s="15"/>
      <c r="BG78" s="15"/>
      <c r="BH78" s="15"/>
      <c r="BI78" s="15"/>
      <c r="BJ78" s="43" t="s">
        <v>74</v>
      </c>
      <c r="BK78" s="212" t="s">
        <v>83</v>
      </c>
      <c r="BL78" s="212"/>
      <c r="BM78" s="29" t="s">
        <v>35</v>
      </c>
      <c r="BN78" s="15"/>
      <c r="BO78" s="15"/>
      <c r="BP78" s="15"/>
      <c r="BQ78" s="15"/>
      <c r="BR78" s="15"/>
      <c r="BS78" s="15"/>
      <c r="BT78" s="15"/>
    </row>
    <row r="79" spans="1:72" ht="15" customHeight="1" x14ac:dyDescent="0.3">
      <c r="B79" s="43" t="s">
        <v>75</v>
      </c>
      <c r="C79" s="42" t="s">
        <v>61</v>
      </c>
      <c r="D79" s="42"/>
      <c r="E79" s="29" t="s">
        <v>35</v>
      </c>
      <c r="F79" s="15" t="str">
        <f>F64</f>
        <v>CV. Adicipta Nusatama</v>
      </c>
      <c r="N79" s="43" t="s">
        <v>75</v>
      </c>
      <c r="O79" s="212" t="s">
        <v>61</v>
      </c>
      <c r="P79" s="212"/>
      <c r="Q79" s="29" t="s">
        <v>35</v>
      </c>
      <c r="R79" s="15" t="str">
        <f t="shared" si="5"/>
        <v>CV. Adicipta Nusatama</v>
      </c>
      <c r="S79" s="15"/>
      <c r="T79" s="15"/>
      <c r="U79" s="15"/>
      <c r="V79" s="15"/>
      <c r="W79" s="15"/>
      <c r="X79" s="15"/>
      <c r="Y79" s="15"/>
      <c r="Z79" s="43" t="s">
        <v>75</v>
      </c>
      <c r="AA79" s="212" t="s">
        <v>61</v>
      </c>
      <c r="AB79" s="212"/>
      <c r="AC79" s="29" t="s">
        <v>35</v>
      </c>
      <c r="AD79" s="15" t="str">
        <f t="shared" si="1"/>
        <v>CV. Adicipta Nusatama</v>
      </c>
      <c r="AE79" s="15"/>
      <c r="AF79" s="15"/>
      <c r="AG79" s="15"/>
      <c r="AH79" s="15"/>
      <c r="AI79" s="15"/>
      <c r="AJ79" s="15"/>
      <c r="AK79" s="15"/>
      <c r="AL79" s="43" t="s">
        <v>75</v>
      </c>
      <c r="AM79" s="212" t="s">
        <v>61</v>
      </c>
      <c r="AN79" s="212"/>
      <c r="AO79" s="29" t="s">
        <v>35</v>
      </c>
      <c r="AP79" s="15" t="str">
        <f t="shared" si="2"/>
        <v>CV. Adicipta Nusatama</v>
      </c>
      <c r="AQ79" s="15"/>
      <c r="AR79" s="15"/>
      <c r="AS79" s="15"/>
      <c r="AT79" s="15"/>
      <c r="AU79" s="15"/>
      <c r="AV79" s="15"/>
      <c r="AW79" s="15"/>
      <c r="AX79" s="43" t="s">
        <v>75</v>
      </c>
      <c r="AY79" s="212" t="s">
        <v>61</v>
      </c>
      <c r="AZ79" s="212"/>
      <c r="BA79" s="29" t="s">
        <v>35</v>
      </c>
      <c r="BB79" s="15" t="str">
        <f t="shared" si="6"/>
        <v>CV. Adicipta Nusatama</v>
      </c>
      <c r="BC79" s="15"/>
      <c r="BD79" s="15"/>
      <c r="BE79" s="15"/>
      <c r="BF79" s="15"/>
      <c r="BG79" s="15"/>
      <c r="BH79" s="15"/>
      <c r="BI79" s="15"/>
      <c r="BJ79" s="43" t="s">
        <v>75</v>
      </c>
      <c r="BK79" s="212" t="s">
        <v>61</v>
      </c>
      <c r="BL79" s="212"/>
      <c r="BM79" s="29" t="s">
        <v>35</v>
      </c>
      <c r="BN79" s="15"/>
      <c r="BO79" s="15"/>
      <c r="BP79" s="15"/>
      <c r="BQ79" s="15"/>
      <c r="BR79" s="15"/>
      <c r="BS79" s="15"/>
      <c r="BT79" s="15"/>
    </row>
    <row r="80" spans="1:72" s="59" customFormat="1" ht="35.1" customHeight="1" x14ac:dyDescent="0.3">
      <c r="A80" s="79"/>
      <c r="B80" s="76" t="s">
        <v>32</v>
      </c>
      <c r="C80" s="77" t="s">
        <v>84</v>
      </c>
      <c r="D80" s="77"/>
      <c r="E80" s="78" t="s">
        <v>35</v>
      </c>
      <c r="F80" s="216" t="s">
        <v>208</v>
      </c>
      <c r="G80" s="216"/>
      <c r="H80" s="216"/>
      <c r="I80" s="216"/>
      <c r="J80" s="216"/>
      <c r="K80" s="216"/>
      <c r="L80" s="216"/>
      <c r="M80" s="79"/>
      <c r="N80" s="76" t="s">
        <v>76</v>
      </c>
      <c r="O80" s="213" t="s">
        <v>84</v>
      </c>
      <c r="P80" s="213"/>
      <c r="Q80" s="78" t="s">
        <v>35</v>
      </c>
      <c r="R80" s="216" t="s">
        <v>210</v>
      </c>
      <c r="S80" s="216"/>
      <c r="T80" s="216"/>
      <c r="U80" s="216"/>
      <c r="V80" s="216"/>
      <c r="W80" s="216"/>
      <c r="X80" s="216"/>
      <c r="Y80" s="79"/>
      <c r="Z80" s="76" t="s">
        <v>214</v>
      </c>
      <c r="AA80" s="213" t="s">
        <v>84</v>
      </c>
      <c r="AB80" s="213"/>
      <c r="AC80" s="78" t="s">
        <v>35</v>
      </c>
      <c r="AD80" s="216" t="s">
        <v>210</v>
      </c>
      <c r="AE80" s="216"/>
      <c r="AF80" s="216"/>
      <c r="AG80" s="216"/>
      <c r="AH80" s="216"/>
      <c r="AI80" s="216"/>
      <c r="AJ80" s="216"/>
      <c r="AK80" s="79"/>
      <c r="AL80" s="76" t="s">
        <v>76</v>
      </c>
      <c r="AM80" s="213" t="s">
        <v>84</v>
      </c>
      <c r="AN80" s="213"/>
      <c r="AO80" s="78" t="s">
        <v>35</v>
      </c>
      <c r="AP80" s="216" t="s">
        <v>210</v>
      </c>
      <c r="AQ80" s="216"/>
      <c r="AR80" s="216"/>
      <c r="AS80" s="216"/>
      <c r="AT80" s="216"/>
      <c r="AU80" s="216"/>
      <c r="AV80" s="216"/>
      <c r="AW80" s="79"/>
      <c r="AX80" s="76" t="s">
        <v>76</v>
      </c>
      <c r="AY80" s="213" t="s">
        <v>84</v>
      </c>
      <c r="AZ80" s="213"/>
      <c r="BA80" s="78" t="s">
        <v>35</v>
      </c>
      <c r="BB80" s="216" t="s">
        <v>210</v>
      </c>
      <c r="BC80" s="216"/>
      <c r="BD80" s="216"/>
      <c r="BE80" s="216"/>
      <c r="BF80" s="216"/>
      <c r="BG80" s="216"/>
      <c r="BH80" s="216"/>
      <c r="BI80" s="79"/>
      <c r="BJ80" s="76" t="s">
        <v>76</v>
      </c>
      <c r="BK80" s="213" t="s">
        <v>84</v>
      </c>
      <c r="BL80" s="213"/>
      <c r="BM80" s="78" t="s">
        <v>35</v>
      </c>
      <c r="BN80" s="79"/>
      <c r="BO80" s="79"/>
      <c r="BP80" s="79"/>
      <c r="BQ80" s="79"/>
      <c r="BR80" s="79"/>
      <c r="BS80" s="79"/>
      <c r="BT80" s="79"/>
    </row>
    <row r="81" spans="1:72" ht="35.1" customHeight="1" x14ac:dyDescent="0.3">
      <c r="B81" s="43"/>
      <c r="C81" s="42"/>
      <c r="D81" s="42"/>
      <c r="E81" s="29"/>
      <c r="F81" s="216" t="s">
        <v>205</v>
      </c>
      <c r="G81" s="216"/>
      <c r="H81" s="216"/>
      <c r="I81" s="216"/>
      <c r="J81" s="216"/>
      <c r="K81" s="216"/>
      <c r="L81" s="216"/>
      <c r="N81" s="43"/>
      <c r="O81" s="42"/>
      <c r="P81" s="42"/>
      <c r="Q81" s="29"/>
      <c r="R81" s="216" t="s">
        <v>211</v>
      </c>
      <c r="S81" s="216"/>
      <c r="T81" s="216"/>
      <c r="U81" s="216"/>
      <c r="V81" s="216"/>
      <c r="W81" s="216"/>
      <c r="X81" s="216"/>
      <c r="Y81" s="15"/>
      <c r="Z81" s="43"/>
      <c r="AA81" s="42"/>
      <c r="AB81" s="42"/>
      <c r="AC81" s="29"/>
      <c r="AD81" s="216" t="s">
        <v>211</v>
      </c>
      <c r="AE81" s="216"/>
      <c r="AF81" s="216"/>
      <c r="AG81" s="216"/>
      <c r="AH81" s="216"/>
      <c r="AI81" s="216"/>
      <c r="AJ81" s="216"/>
      <c r="AK81" s="15"/>
      <c r="AL81" s="43"/>
      <c r="AM81" s="42"/>
      <c r="AN81" s="42"/>
      <c r="AO81" s="29"/>
      <c r="AP81" s="216" t="s">
        <v>211</v>
      </c>
      <c r="AQ81" s="216"/>
      <c r="AR81" s="216"/>
      <c r="AS81" s="216"/>
      <c r="AT81" s="216"/>
      <c r="AU81" s="216"/>
      <c r="AV81" s="216"/>
      <c r="AW81" s="15"/>
      <c r="AX81" s="43"/>
      <c r="AY81" s="42"/>
      <c r="AZ81" s="42"/>
      <c r="BA81" s="29"/>
      <c r="BB81" s="216" t="s">
        <v>211</v>
      </c>
      <c r="BC81" s="216"/>
      <c r="BD81" s="216"/>
      <c r="BE81" s="216"/>
      <c r="BF81" s="216"/>
      <c r="BG81" s="216"/>
      <c r="BH81" s="216"/>
      <c r="BI81" s="15"/>
      <c r="BJ81" s="43"/>
      <c r="BK81" s="42"/>
      <c r="BL81" s="42"/>
      <c r="BM81" s="29"/>
      <c r="BN81" s="15"/>
      <c r="BO81" s="15"/>
      <c r="BP81" s="15"/>
      <c r="BQ81" s="15"/>
      <c r="BR81" s="15"/>
      <c r="BS81" s="15"/>
      <c r="BT81" s="15"/>
    </row>
    <row r="82" spans="1:72" ht="35.1" customHeight="1" x14ac:dyDescent="0.3">
      <c r="B82" s="43"/>
      <c r="C82" s="42"/>
      <c r="D82" s="42"/>
      <c r="E82" s="29"/>
      <c r="F82" s="216" t="s">
        <v>206</v>
      </c>
      <c r="G82" s="216"/>
      <c r="H82" s="216"/>
      <c r="I82" s="216"/>
      <c r="J82" s="216"/>
      <c r="K82" s="216"/>
      <c r="L82" s="216"/>
      <c r="N82" s="43"/>
      <c r="O82" s="42"/>
      <c r="P82" s="42"/>
      <c r="Q82" s="29"/>
      <c r="R82" s="216" t="s">
        <v>212</v>
      </c>
      <c r="S82" s="216"/>
      <c r="T82" s="216"/>
      <c r="U82" s="216"/>
      <c r="V82" s="216"/>
      <c r="W82" s="216"/>
      <c r="X82" s="216"/>
      <c r="Y82" s="15"/>
      <c r="Z82" s="43"/>
      <c r="AA82" s="42"/>
      <c r="AB82" s="42"/>
      <c r="AC82" s="29"/>
      <c r="AD82" s="216" t="s">
        <v>212</v>
      </c>
      <c r="AE82" s="216"/>
      <c r="AF82" s="216"/>
      <c r="AG82" s="216"/>
      <c r="AH82" s="216"/>
      <c r="AI82" s="216"/>
      <c r="AJ82" s="216"/>
      <c r="AK82" s="15"/>
      <c r="AL82" s="43"/>
      <c r="AM82" s="42"/>
      <c r="AN82" s="42"/>
      <c r="AO82" s="29"/>
      <c r="AP82" s="216" t="s">
        <v>212</v>
      </c>
      <c r="AQ82" s="216"/>
      <c r="AR82" s="216"/>
      <c r="AS82" s="216"/>
      <c r="AT82" s="216"/>
      <c r="AU82" s="216"/>
      <c r="AV82" s="216"/>
      <c r="AW82" s="15"/>
      <c r="AX82" s="43"/>
      <c r="AY82" s="42"/>
      <c r="AZ82" s="42"/>
      <c r="BA82" s="29"/>
      <c r="BB82" s="216" t="s">
        <v>212</v>
      </c>
      <c r="BC82" s="216"/>
      <c r="BD82" s="216"/>
      <c r="BE82" s="216"/>
      <c r="BF82" s="216"/>
      <c r="BG82" s="216"/>
      <c r="BH82" s="216"/>
      <c r="BI82" s="15"/>
      <c r="BJ82" s="43"/>
      <c r="BK82" s="42"/>
      <c r="BL82" s="42"/>
      <c r="BM82" s="29"/>
      <c r="BN82" s="15"/>
      <c r="BO82" s="15"/>
      <c r="BP82" s="15"/>
      <c r="BQ82" s="15"/>
      <c r="BR82" s="15"/>
      <c r="BS82" s="15"/>
      <c r="BT82" s="15"/>
    </row>
    <row r="83" spans="1:72" ht="35.1" customHeight="1" x14ac:dyDescent="0.3">
      <c r="B83" s="43"/>
      <c r="C83" s="42"/>
      <c r="D83" s="42"/>
      <c r="E83" s="29"/>
      <c r="F83" s="216" t="s">
        <v>207</v>
      </c>
      <c r="G83" s="216"/>
      <c r="H83" s="216"/>
      <c r="I83" s="216"/>
      <c r="J83" s="216"/>
      <c r="K83" s="216"/>
      <c r="L83" s="216"/>
      <c r="N83" s="43"/>
      <c r="O83" s="42"/>
      <c r="P83" s="42"/>
      <c r="Q83" s="29"/>
      <c r="R83" s="216" t="s">
        <v>207</v>
      </c>
      <c r="S83" s="216"/>
      <c r="T83" s="216"/>
      <c r="U83" s="216"/>
      <c r="V83" s="216"/>
      <c r="W83" s="216"/>
      <c r="X83" s="216"/>
      <c r="Y83" s="15"/>
      <c r="Z83" s="43"/>
      <c r="AA83" s="42"/>
      <c r="AB83" s="42"/>
      <c r="AC83" s="29"/>
      <c r="AD83" s="216" t="s">
        <v>207</v>
      </c>
      <c r="AE83" s="216"/>
      <c r="AF83" s="216"/>
      <c r="AG83" s="216"/>
      <c r="AH83" s="216"/>
      <c r="AI83" s="216"/>
      <c r="AJ83" s="216"/>
      <c r="AK83" s="15"/>
      <c r="AL83" s="43"/>
      <c r="AM83" s="42"/>
      <c r="AN83" s="42"/>
      <c r="AO83" s="29"/>
      <c r="AP83" s="216" t="s">
        <v>207</v>
      </c>
      <c r="AQ83" s="216"/>
      <c r="AR83" s="216"/>
      <c r="AS83" s="216"/>
      <c r="AT83" s="216"/>
      <c r="AU83" s="216"/>
      <c r="AV83" s="216"/>
      <c r="AW83" s="15"/>
      <c r="AX83" s="43"/>
      <c r="AY83" s="42"/>
      <c r="AZ83" s="42"/>
      <c r="BA83" s="29"/>
      <c r="BB83" s="216" t="s">
        <v>207</v>
      </c>
      <c r="BC83" s="216"/>
      <c r="BD83" s="216"/>
      <c r="BE83" s="216"/>
      <c r="BF83" s="216"/>
      <c r="BG83" s="216"/>
      <c r="BH83" s="216"/>
      <c r="BI83" s="15"/>
      <c r="BJ83" s="43"/>
      <c r="BK83" s="42"/>
      <c r="BL83" s="42"/>
      <c r="BM83" s="29"/>
      <c r="BN83" s="15"/>
      <c r="BO83" s="15"/>
      <c r="BP83" s="15"/>
      <c r="BQ83" s="15"/>
      <c r="BR83" s="15"/>
      <c r="BS83" s="15"/>
      <c r="BT83" s="15"/>
    </row>
    <row r="84" spans="1:72" ht="35.1" customHeight="1" x14ac:dyDescent="0.3">
      <c r="B84" s="43"/>
      <c r="C84" s="42"/>
      <c r="D84" s="42"/>
      <c r="E84" s="29"/>
      <c r="F84" s="216" t="s">
        <v>209</v>
      </c>
      <c r="G84" s="216"/>
      <c r="H84" s="216"/>
      <c r="I84" s="216"/>
      <c r="J84" s="216"/>
      <c r="K84" s="216"/>
      <c r="L84" s="216"/>
      <c r="N84" s="43"/>
      <c r="O84" s="42"/>
      <c r="P84" s="42"/>
      <c r="Q84" s="29"/>
      <c r="R84" s="216" t="s">
        <v>213</v>
      </c>
      <c r="S84" s="216"/>
      <c r="T84" s="216"/>
      <c r="U84" s="216"/>
      <c r="V84" s="216"/>
      <c r="W84" s="216"/>
      <c r="X84" s="216"/>
      <c r="Y84" s="15"/>
      <c r="Z84" s="43"/>
      <c r="AA84" s="42"/>
      <c r="AB84" s="42"/>
      <c r="AC84" s="29"/>
      <c r="AD84" s="216" t="s">
        <v>213</v>
      </c>
      <c r="AE84" s="216"/>
      <c r="AF84" s="216"/>
      <c r="AG84" s="216"/>
      <c r="AH84" s="216"/>
      <c r="AI84" s="216"/>
      <c r="AJ84" s="216"/>
      <c r="AK84" s="15"/>
      <c r="AL84" s="43"/>
      <c r="AM84" s="42"/>
      <c r="AN84" s="42"/>
      <c r="AO84" s="29"/>
      <c r="AP84" s="216" t="s">
        <v>213</v>
      </c>
      <c r="AQ84" s="216"/>
      <c r="AR84" s="216"/>
      <c r="AS84" s="216"/>
      <c r="AT84" s="216"/>
      <c r="AU84" s="216"/>
      <c r="AV84" s="216"/>
      <c r="AW84" s="15"/>
      <c r="AX84" s="43"/>
      <c r="AY84" s="42"/>
      <c r="AZ84" s="42"/>
      <c r="BA84" s="29"/>
      <c r="BB84" s="216" t="s">
        <v>213</v>
      </c>
      <c r="BC84" s="216"/>
      <c r="BD84" s="216"/>
      <c r="BE84" s="216"/>
      <c r="BF84" s="216"/>
      <c r="BG84" s="216"/>
      <c r="BH84" s="216"/>
      <c r="BI84" s="15"/>
      <c r="BJ84" s="43"/>
      <c r="BK84" s="42"/>
      <c r="BL84" s="42"/>
      <c r="BM84" s="29"/>
      <c r="BN84" s="15"/>
      <c r="BO84" s="15"/>
      <c r="BP84" s="15"/>
      <c r="BQ84" s="15"/>
      <c r="BR84" s="15"/>
      <c r="BS84" s="15"/>
      <c r="BT84" s="15"/>
    </row>
    <row r="85" spans="1:72" ht="15" customHeight="1" x14ac:dyDescent="0.3">
      <c r="B85" s="43" t="s">
        <v>77</v>
      </c>
      <c r="C85" s="42" t="s">
        <v>23</v>
      </c>
      <c r="D85" s="42"/>
      <c r="E85" s="29" t="s">
        <v>35</v>
      </c>
      <c r="F85" s="15" t="s">
        <v>105</v>
      </c>
      <c r="N85" s="43" t="s">
        <v>77</v>
      </c>
      <c r="O85" s="212" t="s">
        <v>23</v>
      </c>
      <c r="P85" s="212"/>
      <c r="Q85" s="29" t="s">
        <v>35</v>
      </c>
      <c r="R85" s="15" t="str">
        <f t="shared" si="5"/>
        <v>25 April 2007 - 26 Mei 2007</v>
      </c>
      <c r="S85" s="15"/>
      <c r="T85" s="15"/>
      <c r="U85" s="15"/>
      <c r="V85" s="15"/>
      <c r="W85" s="15"/>
      <c r="X85" s="15"/>
      <c r="Y85" s="15"/>
      <c r="Z85" s="43" t="s">
        <v>77</v>
      </c>
      <c r="AA85" s="212" t="s">
        <v>23</v>
      </c>
      <c r="AB85" s="212"/>
      <c r="AC85" s="29" t="s">
        <v>35</v>
      </c>
      <c r="AD85" s="15" t="str">
        <f t="shared" si="1"/>
        <v>25 April 2007 - 26 Mei 2007</v>
      </c>
      <c r="AE85" s="15"/>
      <c r="AF85" s="15"/>
      <c r="AG85" s="15"/>
      <c r="AH85" s="15"/>
      <c r="AI85" s="15"/>
      <c r="AJ85" s="15"/>
      <c r="AK85" s="15"/>
      <c r="AL85" s="43" t="s">
        <v>77</v>
      </c>
      <c r="AM85" s="212" t="s">
        <v>23</v>
      </c>
      <c r="AN85" s="212"/>
      <c r="AO85" s="29" t="s">
        <v>35</v>
      </c>
      <c r="AP85" s="15" t="str">
        <f t="shared" si="2"/>
        <v>25 April 2007 - 26 Mei 2007</v>
      </c>
      <c r="AQ85" s="15"/>
      <c r="AR85" s="15"/>
      <c r="AS85" s="15"/>
      <c r="AT85" s="15"/>
      <c r="AU85" s="15"/>
      <c r="AV85" s="15"/>
      <c r="AW85" s="15"/>
      <c r="AX85" s="43" t="s">
        <v>77</v>
      </c>
      <c r="AY85" s="212" t="s">
        <v>23</v>
      </c>
      <c r="AZ85" s="212"/>
      <c r="BA85" s="29" t="s">
        <v>35</v>
      </c>
      <c r="BB85" s="15" t="str">
        <f t="shared" si="6"/>
        <v>25 April 2007 - 26 Mei 2007</v>
      </c>
      <c r="BC85" s="15"/>
      <c r="BD85" s="15"/>
      <c r="BE85" s="15"/>
      <c r="BF85" s="15"/>
      <c r="BG85" s="15"/>
      <c r="BH85" s="15"/>
      <c r="BI85" s="15"/>
      <c r="BJ85" s="43" t="s">
        <v>77</v>
      </c>
      <c r="BK85" s="212" t="s">
        <v>23</v>
      </c>
      <c r="BL85" s="212"/>
      <c r="BM85" s="29" t="s">
        <v>35</v>
      </c>
      <c r="BN85" s="15"/>
      <c r="BO85" s="15"/>
      <c r="BP85" s="15"/>
      <c r="BQ85" s="15"/>
      <c r="BR85" s="15"/>
      <c r="BS85" s="15"/>
      <c r="BT85" s="15"/>
    </row>
    <row r="86" spans="1:72" ht="15" customHeight="1" x14ac:dyDescent="0.3">
      <c r="B86" s="43" t="s">
        <v>78</v>
      </c>
      <c r="C86" s="42" t="s">
        <v>85</v>
      </c>
      <c r="D86" s="42"/>
      <c r="E86" s="29" t="s">
        <v>35</v>
      </c>
      <c r="F86" s="15" t="str">
        <f>F71</f>
        <v>Ketua Tim</v>
      </c>
      <c r="N86" s="43" t="s">
        <v>78</v>
      </c>
      <c r="O86" s="212" t="s">
        <v>85</v>
      </c>
      <c r="P86" s="212"/>
      <c r="Q86" s="29" t="s">
        <v>35</v>
      </c>
      <c r="R86" s="15" t="str">
        <f>R71</f>
        <v>Ahli sipil</v>
      </c>
      <c r="S86" s="15"/>
      <c r="T86" s="15"/>
      <c r="U86" s="15"/>
      <c r="V86" s="15"/>
      <c r="W86" s="15"/>
      <c r="X86" s="15"/>
      <c r="Y86" s="15"/>
      <c r="Z86" s="43" t="s">
        <v>78</v>
      </c>
      <c r="AA86" s="212" t="s">
        <v>85</v>
      </c>
      <c r="AB86" s="212"/>
      <c r="AC86" s="29" t="s">
        <v>35</v>
      </c>
      <c r="AD86" s="15" t="str">
        <f>AD71</f>
        <v>Ahli Arsitektur</v>
      </c>
      <c r="AE86" s="15"/>
      <c r="AF86" s="15"/>
      <c r="AG86" s="15"/>
      <c r="AH86" s="15"/>
      <c r="AI86" s="15"/>
      <c r="AJ86" s="15"/>
      <c r="AK86" s="15"/>
      <c r="AL86" s="43" t="s">
        <v>78</v>
      </c>
      <c r="AM86" s="212" t="s">
        <v>85</v>
      </c>
      <c r="AN86" s="212"/>
      <c r="AO86" s="29" t="s">
        <v>35</v>
      </c>
      <c r="AP86" s="15" t="str">
        <f>AP71</f>
        <v>Ahli Arsitektur</v>
      </c>
      <c r="AQ86" s="15"/>
      <c r="AR86" s="15"/>
      <c r="AS86" s="15"/>
      <c r="AT86" s="15"/>
      <c r="AU86" s="15"/>
      <c r="AV86" s="15"/>
      <c r="AW86" s="15"/>
      <c r="AX86" s="43" t="s">
        <v>78</v>
      </c>
      <c r="AY86" s="212" t="s">
        <v>85</v>
      </c>
      <c r="AZ86" s="212"/>
      <c r="BA86" s="29" t="s">
        <v>35</v>
      </c>
      <c r="BB86" s="15" t="str">
        <f t="shared" si="6"/>
        <v>Ahli Arsitektur</v>
      </c>
      <c r="BC86" s="15"/>
      <c r="BD86" s="15"/>
      <c r="BE86" s="15"/>
      <c r="BF86" s="15"/>
      <c r="BG86" s="15"/>
      <c r="BH86" s="15"/>
      <c r="BI86" s="15"/>
      <c r="BJ86" s="43" t="s">
        <v>78</v>
      </c>
      <c r="BK86" s="212" t="s">
        <v>85</v>
      </c>
      <c r="BL86" s="212"/>
      <c r="BM86" s="29" t="s">
        <v>35</v>
      </c>
      <c r="BN86" s="15"/>
      <c r="BO86" s="15"/>
      <c r="BP86" s="15"/>
      <c r="BQ86" s="15"/>
      <c r="BR86" s="15"/>
      <c r="BS86" s="15"/>
      <c r="BT86" s="15"/>
    </row>
    <row r="87" spans="1:72" ht="15" customHeight="1" x14ac:dyDescent="0.3">
      <c r="B87" s="43" t="s">
        <v>79</v>
      </c>
      <c r="C87" s="42" t="s">
        <v>86</v>
      </c>
      <c r="D87" s="42"/>
      <c r="E87" s="29" t="s">
        <v>35</v>
      </c>
      <c r="F87" s="15" t="s">
        <v>97</v>
      </c>
      <c r="N87" s="43" t="s">
        <v>79</v>
      </c>
      <c r="O87" s="212" t="s">
        <v>86</v>
      </c>
      <c r="P87" s="212"/>
      <c r="Q87" s="29" t="s">
        <v>35</v>
      </c>
      <c r="R87" s="15" t="str">
        <f>R72</f>
        <v>Tenaga Ahli Pendukung</v>
      </c>
      <c r="S87" s="15"/>
      <c r="T87" s="15"/>
      <c r="U87" s="15"/>
      <c r="V87" s="15"/>
      <c r="W87" s="15"/>
      <c r="X87" s="15"/>
      <c r="Y87" s="15"/>
      <c r="Z87" s="43" t="s">
        <v>79</v>
      </c>
      <c r="AA87" s="212" t="s">
        <v>86</v>
      </c>
      <c r="AB87" s="212"/>
      <c r="AC87" s="29" t="s">
        <v>35</v>
      </c>
      <c r="AD87" s="15" t="str">
        <f t="shared" si="1"/>
        <v>Tenaga Ahli Pendukung</v>
      </c>
      <c r="AE87" s="15"/>
      <c r="AF87" s="15"/>
      <c r="AG87" s="15"/>
      <c r="AH87" s="15"/>
      <c r="AI87" s="15"/>
      <c r="AJ87" s="15"/>
      <c r="AK87" s="15"/>
      <c r="AL87" s="43" t="s">
        <v>79</v>
      </c>
      <c r="AM87" s="212" t="s">
        <v>86</v>
      </c>
      <c r="AN87" s="212"/>
      <c r="AO87" s="29" t="s">
        <v>35</v>
      </c>
      <c r="AP87" s="15" t="str">
        <f t="shared" si="2"/>
        <v>Tenaga Ahli Pendukung</v>
      </c>
      <c r="AQ87" s="15"/>
      <c r="AR87" s="15"/>
      <c r="AS87" s="15"/>
      <c r="AT87" s="15"/>
      <c r="AU87" s="15"/>
      <c r="AV87" s="15"/>
      <c r="AW87" s="15"/>
      <c r="AX87" s="43" t="s">
        <v>79</v>
      </c>
      <c r="AY87" s="212" t="s">
        <v>86</v>
      </c>
      <c r="AZ87" s="212"/>
      <c r="BA87" s="29" t="s">
        <v>35</v>
      </c>
      <c r="BB87" s="15" t="str">
        <f t="shared" si="6"/>
        <v>Tenaga Ahli Pendukung</v>
      </c>
      <c r="BC87" s="15"/>
      <c r="BD87" s="15"/>
      <c r="BE87" s="15"/>
      <c r="BF87" s="15"/>
      <c r="BG87" s="15"/>
      <c r="BH87" s="15"/>
      <c r="BI87" s="15"/>
      <c r="BJ87" s="43" t="s">
        <v>79</v>
      </c>
      <c r="BK87" s="212" t="s">
        <v>86</v>
      </c>
      <c r="BL87" s="212"/>
      <c r="BM87" s="29" t="s">
        <v>35</v>
      </c>
      <c r="BN87" s="15"/>
      <c r="BO87" s="15"/>
      <c r="BP87" s="15"/>
      <c r="BQ87" s="15"/>
      <c r="BR87" s="15"/>
      <c r="BS87" s="15"/>
      <c r="BT87" s="15"/>
    </row>
    <row r="88" spans="1:72" ht="15" customHeight="1" x14ac:dyDescent="0.3">
      <c r="B88" s="43" t="s">
        <v>80</v>
      </c>
      <c r="C88" s="42" t="s">
        <v>87</v>
      </c>
      <c r="D88" s="42"/>
      <c r="E88" s="29" t="s">
        <v>35</v>
      </c>
      <c r="F88" s="15" t="str">
        <f>F73</f>
        <v>Terlampir</v>
      </c>
      <c r="N88" s="43" t="s">
        <v>80</v>
      </c>
      <c r="O88" s="212" t="s">
        <v>87</v>
      </c>
      <c r="P88" s="212"/>
      <c r="Q88" s="29" t="s">
        <v>35</v>
      </c>
      <c r="R88" s="15" t="str">
        <f>R73</f>
        <v>Terlampir</v>
      </c>
      <c r="S88" s="15"/>
      <c r="T88" s="15"/>
      <c r="U88" s="15"/>
      <c r="V88" s="15"/>
      <c r="W88" s="15"/>
      <c r="X88" s="15"/>
      <c r="Y88" s="15"/>
      <c r="Z88" s="43" t="s">
        <v>80</v>
      </c>
      <c r="AA88" s="212" t="s">
        <v>87</v>
      </c>
      <c r="AB88" s="212"/>
      <c r="AC88" s="29" t="s">
        <v>35</v>
      </c>
      <c r="AD88" s="15" t="str">
        <f t="shared" si="1"/>
        <v>Terlampir</v>
      </c>
      <c r="AE88" s="15"/>
      <c r="AF88" s="15"/>
      <c r="AG88" s="15"/>
      <c r="AH88" s="15"/>
      <c r="AI88" s="15"/>
      <c r="AJ88" s="15"/>
      <c r="AK88" s="15"/>
      <c r="AL88" s="43" t="s">
        <v>80</v>
      </c>
      <c r="AM88" s="212" t="s">
        <v>87</v>
      </c>
      <c r="AN88" s="212"/>
      <c r="AO88" s="29" t="s">
        <v>35</v>
      </c>
      <c r="AP88" s="15" t="str">
        <f t="shared" si="2"/>
        <v>Terlampir</v>
      </c>
      <c r="AQ88" s="15"/>
      <c r="AR88" s="15"/>
      <c r="AS88" s="15"/>
      <c r="AT88" s="15"/>
      <c r="AU88" s="15"/>
      <c r="AV88" s="15"/>
      <c r="AW88" s="15"/>
      <c r="AX88" s="43" t="s">
        <v>80</v>
      </c>
      <c r="AY88" s="212" t="s">
        <v>87</v>
      </c>
      <c r="AZ88" s="212"/>
      <c r="BA88" s="29" t="s">
        <v>35</v>
      </c>
      <c r="BB88" s="15" t="str">
        <f t="shared" si="6"/>
        <v>Terlampir</v>
      </c>
      <c r="BC88" s="15"/>
      <c r="BD88" s="15"/>
      <c r="BE88" s="15"/>
      <c r="BF88" s="15"/>
      <c r="BG88" s="15"/>
      <c r="BH88" s="15"/>
      <c r="BI88" s="15"/>
      <c r="BJ88" s="43" t="s">
        <v>80</v>
      </c>
      <c r="BK88" s="212" t="s">
        <v>87</v>
      </c>
      <c r="BL88" s="212"/>
      <c r="BM88" s="29" t="s">
        <v>35</v>
      </c>
      <c r="BN88" s="15"/>
      <c r="BO88" s="15"/>
      <c r="BP88" s="15"/>
      <c r="BQ88" s="15"/>
      <c r="BR88" s="15"/>
      <c r="BS88" s="15"/>
      <c r="BT88" s="15"/>
    </row>
    <row r="89" spans="1:72" ht="15" customHeight="1" x14ac:dyDescent="0.3">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row>
    <row r="90" spans="1:72" ht="15" customHeight="1" x14ac:dyDescent="0.3">
      <c r="A90" s="15" t="s">
        <v>89</v>
      </c>
      <c r="B90" s="15" t="s">
        <v>90</v>
      </c>
      <c r="E90" s="15" t="s">
        <v>35</v>
      </c>
      <c r="F90" s="15" t="s">
        <v>199</v>
      </c>
      <c r="M90" s="15" t="s">
        <v>89</v>
      </c>
      <c r="N90" s="15" t="s">
        <v>90</v>
      </c>
      <c r="Q90" s="15" t="s">
        <v>35</v>
      </c>
      <c r="R90" s="15" t="s">
        <v>200</v>
      </c>
      <c r="S90" s="15"/>
      <c r="T90" s="15"/>
      <c r="U90" s="15"/>
      <c r="V90" s="15"/>
      <c r="W90" s="15"/>
      <c r="X90" s="15"/>
      <c r="Y90" s="15" t="s">
        <v>89</v>
      </c>
      <c r="Z90" s="15" t="s">
        <v>90</v>
      </c>
      <c r="AA90" s="15"/>
      <c r="AB90" s="15"/>
      <c r="AC90" s="15" t="s">
        <v>35</v>
      </c>
      <c r="AD90" s="15" t="s">
        <v>200</v>
      </c>
      <c r="AE90" s="15"/>
      <c r="AF90" s="15"/>
      <c r="AG90" s="15"/>
      <c r="AH90" s="15"/>
      <c r="AI90" s="15"/>
      <c r="AJ90" s="15"/>
      <c r="AK90" s="15" t="s">
        <v>89</v>
      </c>
      <c r="AL90" s="15" t="s">
        <v>90</v>
      </c>
      <c r="AM90" s="15"/>
      <c r="AN90" s="15"/>
      <c r="AO90" s="15" t="s">
        <v>35</v>
      </c>
      <c r="AP90" s="15" t="str">
        <f t="shared" si="2"/>
        <v>Pegawai Tidak Tetap</v>
      </c>
      <c r="AQ90" s="15"/>
      <c r="AR90" s="15"/>
      <c r="AS90" s="15"/>
      <c r="AT90" s="15"/>
      <c r="AU90" s="15"/>
      <c r="AV90" s="15"/>
      <c r="AW90" s="15" t="s">
        <v>89</v>
      </c>
      <c r="AX90" s="15" t="s">
        <v>90</v>
      </c>
      <c r="AY90" s="15"/>
      <c r="AZ90" s="15"/>
      <c r="BA90" s="15" t="s">
        <v>35</v>
      </c>
      <c r="BB90" s="15" t="str">
        <f t="shared" si="6"/>
        <v>Pegawai Tidak Tetap</v>
      </c>
      <c r="BC90" s="15"/>
      <c r="BD90" s="15"/>
      <c r="BE90" s="15"/>
      <c r="BF90" s="15"/>
      <c r="BG90" s="15"/>
      <c r="BH90" s="15"/>
      <c r="BI90" s="15" t="s">
        <v>89</v>
      </c>
      <c r="BJ90" s="15" t="s">
        <v>90</v>
      </c>
      <c r="BK90" s="15"/>
      <c r="BL90" s="15"/>
      <c r="BM90" s="15" t="s">
        <v>35</v>
      </c>
      <c r="BN90" s="15"/>
      <c r="BO90" s="15"/>
      <c r="BP90" s="15"/>
      <c r="BQ90" s="15"/>
      <c r="BR90" s="15"/>
      <c r="BS90" s="15"/>
      <c r="BT90" s="15"/>
    </row>
    <row r="91" spans="1:72" ht="15" customHeight="1" x14ac:dyDescent="0.3">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row>
    <row r="92" spans="1:72" ht="15" customHeight="1" x14ac:dyDescent="0.3">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row>
    <row r="93" spans="1:72" ht="15" customHeight="1" x14ac:dyDescent="0.3">
      <c r="A93" s="211" t="s">
        <v>91</v>
      </c>
      <c r="B93" s="211"/>
      <c r="C93" s="211"/>
      <c r="D93" s="211"/>
      <c r="E93" s="211"/>
      <c r="F93" s="211"/>
      <c r="G93" s="211"/>
      <c r="H93" s="211"/>
      <c r="I93" s="211"/>
      <c r="J93" s="211"/>
      <c r="K93" s="211"/>
      <c r="L93" s="211"/>
      <c r="M93" s="211" t="s">
        <v>91</v>
      </c>
      <c r="N93" s="211"/>
      <c r="O93" s="211"/>
      <c r="P93" s="211"/>
      <c r="Q93" s="211"/>
      <c r="R93" s="211"/>
      <c r="S93" s="211"/>
      <c r="T93" s="211"/>
      <c r="U93" s="211"/>
      <c r="V93" s="211"/>
      <c r="W93" s="211"/>
      <c r="X93" s="211"/>
      <c r="Y93" s="211" t="s">
        <v>91</v>
      </c>
      <c r="Z93" s="211"/>
      <c r="AA93" s="211"/>
      <c r="AB93" s="211"/>
      <c r="AC93" s="211"/>
      <c r="AD93" s="211"/>
      <c r="AE93" s="211"/>
      <c r="AF93" s="211"/>
      <c r="AG93" s="211"/>
      <c r="AH93" s="211"/>
      <c r="AI93" s="211"/>
      <c r="AJ93" s="211"/>
      <c r="AK93" s="215" t="s">
        <v>91</v>
      </c>
      <c r="AL93" s="215"/>
      <c r="AM93" s="215"/>
      <c r="AN93" s="215"/>
      <c r="AO93" s="215"/>
      <c r="AP93" s="215"/>
      <c r="AQ93" s="215"/>
      <c r="AR93" s="215"/>
      <c r="AS93" s="215"/>
      <c r="AT93" s="215"/>
      <c r="AU93" s="215"/>
      <c r="AV93" s="215"/>
      <c r="AW93" s="215" t="s">
        <v>91</v>
      </c>
      <c r="AX93" s="215"/>
      <c r="AY93" s="215"/>
      <c r="AZ93" s="215"/>
      <c r="BA93" s="215"/>
      <c r="BB93" s="215"/>
      <c r="BC93" s="215"/>
      <c r="BD93" s="215"/>
      <c r="BE93" s="215"/>
      <c r="BF93" s="215"/>
      <c r="BG93" s="215"/>
      <c r="BH93" s="215"/>
      <c r="BI93" s="215" t="s">
        <v>91</v>
      </c>
      <c r="BJ93" s="215"/>
      <c r="BK93" s="215"/>
      <c r="BL93" s="215"/>
      <c r="BM93" s="215"/>
      <c r="BN93" s="215"/>
      <c r="BO93" s="215"/>
      <c r="BP93" s="215"/>
      <c r="BQ93" s="215"/>
      <c r="BR93" s="215"/>
      <c r="BS93" s="215"/>
      <c r="BT93" s="215"/>
    </row>
    <row r="94" spans="1:72" ht="15" customHeight="1" x14ac:dyDescent="0.3">
      <c r="A94" s="211"/>
      <c r="B94" s="211"/>
      <c r="C94" s="211"/>
      <c r="D94" s="211"/>
      <c r="E94" s="211"/>
      <c r="F94" s="211"/>
      <c r="G94" s="211"/>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c r="AK94" s="215"/>
      <c r="AL94" s="215"/>
      <c r="AM94" s="215"/>
      <c r="AN94" s="215"/>
      <c r="AO94" s="215"/>
      <c r="AP94" s="215"/>
      <c r="AQ94" s="215"/>
      <c r="AR94" s="215"/>
      <c r="AS94" s="215"/>
      <c r="AT94" s="215"/>
      <c r="AU94" s="215"/>
      <c r="AV94" s="215"/>
      <c r="AW94" s="215"/>
      <c r="AX94" s="215"/>
      <c r="AY94" s="215"/>
      <c r="AZ94" s="215"/>
      <c r="BA94" s="215"/>
      <c r="BB94" s="215"/>
      <c r="BC94" s="215"/>
      <c r="BD94" s="215"/>
      <c r="BE94" s="215"/>
      <c r="BF94" s="215"/>
      <c r="BG94" s="215"/>
      <c r="BH94" s="215"/>
      <c r="BI94" s="215"/>
      <c r="BJ94" s="215"/>
      <c r="BK94" s="215"/>
      <c r="BL94" s="215"/>
      <c r="BM94" s="215"/>
      <c r="BN94" s="215"/>
      <c r="BO94" s="215"/>
      <c r="BP94" s="215"/>
      <c r="BQ94" s="215"/>
      <c r="BR94" s="215"/>
      <c r="BS94" s="215"/>
      <c r="BT94" s="215"/>
    </row>
    <row r="95" spans="1:72" ht="15" customHeight="1" x14ac:dyDescent="0.3">
      <c r="A95" s="211"/>
      <c r="B95" s="211"/>
      <c r="C95" s="211"/>
      <c r="D95" s="211"/>
      <c r="E95" s="211"/>
      <c r="F95" s="211"/>
      <c r="G95" s="211"/>
      <c r="H95" s="211"/>
      <c r="I95" s="211"/>
      <c r="J95" s="211"/>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c r="AK95" s="215"/>
      <c r="AL95" s="215"/>
      <c r="AM95" s="215"/>
      <c r="AN95" s="215"/>
      <c r="AO95" s="215"/>
      <c r="AP95" s="215"/>
      <c r="AQ95" s="215"/>
      <c r="AR95" s="215"/>
      <c r="AS95" s="215"/>
      <c r="AT95" s="215"/>
      <c r="AU95" s="215"/>
      <c r="AV95" s="215"/>
      <c r="AW95" s="215"/>
      <c r="AX95" s="215"/>
      <c r="AY95" s="215"/>
      <c r="AZ95" s="215"/>
      <c r="BA95" s="215"/>
      <c r="BB95" s="215"/>
      <c r="BC95" s="215"/>
      <c r="BD95" s="215"/>
      <c r="BE95" s="215"/>
      <c r="BF95" s="215"/>
      <c r="BG95" s="215"/>
      <c r="BH95" s="215"/>
      <c r="BI95" s="215"/>
      <c r="BJ95" s="215"/>
      <c r="BK95" s="215"/>
      <c r="BL95" s="215"/>
      <c r="BM95" s="215"/>
      <c r="BN95" s="215"/>
      <c r="BO95" s="215"/>
      <c r="BP95" s="215"/>
      <c r="BQ95" s="215"/>
      <c r="BR95" s="215"/>
      <c r="BS95" s="215"/>
      <c r="BT95" s="215"/>
    </row>
    <row r="96" spans="1:72" ht="15" customHeight="1" x14ac:dyDescent="0.3">
      <c r="A96" s="211"/>
      <c r="B96" s="211"/>
      <c r="C96" s="211"/>
      <c r="D96" s="211"/>
      <c r="E96" s="211"/>
      <c r="F96" s="211"/>
      <c r="G96" s="211"/>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1"/>
      <c r="AI96" s="211"/>
      <c r="AJ96" s="211"/>
      <c r="AK96" s="215"/>
      <c r="AL96" s="215"/>
      <c r="AM96" s="215"/>
      <c r="AN96" s="215"/>
      <c r="AO96" s="215"/>
      <c r="AP96" s="215"/>
      <c r="AQ96" s="215"/>
      <c r="AR96" s="215"/>
      <c r="AS96" s="215"/>
      <c r="AT96" s="215"/>
      <c r="AU96" s="215"/>
      <c r="AV96" s="215"/>
      <c r="AW96" s="215"/>
      <c r="AX96" s="215"/>
      <c r="AY96" s="215"/>
      <c r="AZ96" s="215"/>
      <c r="BA96" s="215"/>
      <c r="BB96" s="215"/>
      <c r="BC96" s="215"/>
      <c r="BD96" s="215"/>
      <c r="BE96" s="215"/>
      <c r="BF96" s="215"/>
      <c r="BG96" s="215"/>
      <c r="BH96" s="215"/>
      <c r="BI96" s="215"/>
      <c r="BJ96" s="215"/>
      <c r="BK96" s="215"/>
      <c r="BL96" s="215"/>
      <c r="BM96" s="215"/>
      <c r="BN96" s="215"/>
      <c r="BO96" s="215"/>
      <c r="BP96" s="215"/>
      <c r="BQ96" s="215"/>
      <c r="BR96" s="215"/>
      <c r="BS96" s="215"/>
      <c r="BT96" s="215"/>
    </row>
    <row r="97" spans="1:72" ht="15" customHeight="1" x14ac:dyDescent="0.3">
      <c r="A97" s="211"/>
      <c r="B97" s="211"/>
      <c r="C97" s="211"/>
      <c r="D97" s="211"/>
      <c r="E97" s="211"/>
      <c r="F97" s="211"/>
      <c r="G97" s="211"/>
      <c r="H97" s="211"/>
      <c r="I97" s="211"/>
      <c r="J97" s="211"/>
      <c r="K97" s="211"/>
      <c r="L97" s="211"/>
      <c r="M97" s="211"/>
      <c r="N97" s="211"/>
      <c r="O97" s="211"/>
      <c r="P97" s="211"/>
      <c r="Q97" s="211"/>
      <c r="R97" s="211"/>
      <c r="S97" s="211"/>
      <c r="T97" s="211"/>
      <c r="U97" s="211"/>
      <c r="V97" s="211"/>
      <c r="W97" s="211"/>
      <c r="X97" s="211"/>
      <c r="Y97" s="211"/>
      <c r="Z97" s="211"/>
      <c r="AA97" s="211"/>
      <c r="AB97" s="211"/>
      <c r="AC97" s="211"/>
      <c r="AD97" s="211"/>
      <c r="AE97" s="211"/>
      <c r="AF97" s="211"/>
      <c r="AG97" s="211"/>
      <c r="AH97" s="211"/>
      <c r="AI97" s="211"/>
      <c r="AJ97" s="211"/>
      <c r="AK97" s="215"/>
      <c r="AL97" s="215"/>
      <c r="AM97" s="215"/>
      <c r="AN97" s="215"/>
      <c r="AO97" s="215"/>
      <c r="AP97" s="215"/>
      <c r="AQ97" s="215"/>
      <c r="AR97" s="215"/>
      <c r="AS97" s="215"/>
      <c r="AT97" s="215"/>
      <c r="AU97" s="215"/>
      <c r="AV97" s="215"/>
      <c r="AW97" s="215"/>
      <c r="AX97" s="215"/>
      <c r="AY97" s="215"/>
      <c r="AZ97" s="215"/>
      <c r="BA97" s="215"/>
      <c r="BB97" s="215"/>
      <c r="BC97" s="215"/>
      <c r="BD97" s="215"/>
      <c r="BE97" s="215"/>
      <c r="BF97" s="215"/>
      <c r="BG97" s="215"/>
      <c r="BH97" s="215"/>
      <c r="BI97" s="215"/>
      <c r="BJ97" s="215"/>
      <c r="BK97" s="215"/>
      <c r="BL97" s="215"/>
      <c r="BM97" s="215"/>
      <c r="BN97" s="215"/>
      <c r="BO97" s="215"/>
      <c r="BP97" s="215"/>
      <c r="BQ97" s="215"/>
      <c r="BR97" s="215"/>
      <c r="BS97" s="215"/>
      <c r="BT97" s="215"/>
    </row>
    <row r="98" spans="1:72" ht="15" customHeight="1" x14ac:dyDescent="0.3">
      <c r="A98" s="211"/>
      <c r="B98" s="211"/>
      <c r="C98" s="211"/>
      <c r="D98" s="211"/>
      <c r="E98" s="211"/>
      <c r="F98" s="211"/>
      <c r="G98" s="211"/>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c r="AK98" s="215"/>
      <c r="AL98" s="215"/>
      <c r="AM98" s="215"/>
      <c r="AN98" s="215"/>
      <c r="AO98" s="215"/>
      <c r="AP98" s="215"/>
      <c r="AQ98" s="215"/>
      <c r="AR98" s="215"/>
      <c r="AS98" s="215"/>
      <c r="AT98" s="215"/>
      <c r="AU98" s="215"/>
      <c r="AV98" s="215"/>
      <c r="AW98" s="215"/>
      <c r="AX98" s="215"/>
      <c r="AY98" s="215"/>
      <c r="AZ98" s="215"/>
      <c r="BA98" s="215"/>
      <c r="BB98" s="215"/>
      <c r="BC98" s="215"/>
      <c r="BD98" s="215"/>
      <c r="BE98" s="215"/>
      <c r="BF98" s="215"/>
      <c r="BG98" s="215"/>
      <c r="BH98" s="215"/>
      <c r="BI98" s="215"/>
      <c r="BJ98" s="215"/>
      <c r="BK98" s="215"/>
      <c r="BL98" s="215"/>
      <c r="BM98" s="215"/>
      <c r="BN98" s="215"/>
      <c r="BO98" s="215"/>
      <c r="BP98" s="215"/>
      <c r="BQ98" s="215"/>
      <c r="BR98" s="215"/>
      <c r="BS98" s="215"/>
      <c r="BT98" s="215"/>
    </row>
    <row r="99" spans="1:72" ht="15" customHeight="1" x14ac:dyDescent="0.3">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row>
    <row r="100" spans="1:72" ht="15" customHeight="1" x14ac:dyDescent="0.3">
      <c r="I100" s="15" t="str">
        <f>'Daftar Pengalaman Kerja'!G74</f>
        <v>Pasangkayu,  13 Februari 2015</v>
      </c>
      <c r="R100" s="15"/>
      <c r="S100" s="15"/>
      <c r="T100" s="15"/>
      <c r="U100" s="15" t="str">
        <f>I100</f>
        <v>Pasangkayu,  13 Februari 2015</v>
      </c>
      <c r="V100" s="15"/>
      <c r="W100" s="15"/>
      <c r="X100" s="15"/>
      <c r="Y100" s="15"/>
      <c r="Z100" s="15"/>
      <c r="AA100" s="15"/>
      <c r="AB100" s="15"/>
      <c r="AC100" s="15"/>
      <c r="AD100" s="15"/>
      <c r="AE100" s="15"/>
      <c r="AF100" s="15"/>
      <c r="AG100" s="15" t="str">
        <f>U100</f>
        <v>Pasangkayu,  13 Februari 2015</v>
      </c>
      <c r="AH100" s="15"/>
      <c r="AI100" s="15"/>
      <c r="AJ100" s="15"/>
      <c r="AK100" s="15"/>
      <c r="AL100" s="15"/>
      <c r="AM100" s="15"/>
      <c r="AN100" s="15"/>
      <c r="AO100" s="15"/>
      <c r="AP100" s="15"/>
      <c r="AQ100" s="15"/>
      <c r="AR100" s="15"/>
      <c r="AS100" s="15" t="str">
        <f>AG100</f>
        <v>Pasangkayu,  13 Februari 2015</v>
      </c>
      <c r="AT100" s="15"/>
      <c r="AU100" s="15"/>
      <c r="AV100" s="15"/>
      <c r="AW100" s="15"/>
      <c r="AX100" s="15"/>
      <c r="AY100" s="15"/>
      <c r="AZ100" s="15"/>
      <c r="BA100" s="15"/>
      <c r="BB100" s="15"/>
      <c r="BC100" s="15"/>
      <c r="BD100" s="15"/>
      <c r="BE100" s="15" t="str">
        <f>AS100</f>
        <v>Pasangkayu,  13 Februari 2015</v>
      </c>
      <c r="BF100" s="15"/>
      <c r="BG100" s="15"/>
      <c r="BH100" s="15"/>
      <c r="BI100" s="15"/>
      <c r="BJ100" s="15"/>
      <c r="BK100" s="15"/>
      <c r="BL100" s="15"/>
      <c r="BM100" s="15"/>
      <c r="BN100" s="15"/>
      <c r="BO100" s="15"/>
      <c r="BP100" s="15"/>
      <c r="BQ100" s="15">
        <f>'Daftar Pengalaman Kerja'!BO73</f>
        <v>0</v>
      </c>
      <c r="BR100" s="15"/>
      <c r="BS100" s="15"/>
      <c r="BT100" s="15"/>
    </row>
    <row r="101" spans="1:72" ht="15" customHeight="1" x14ac:dyDescent="0.3">
      <c r="I101" s="36" t="s">
        <v>92</v>
      </c>
      <c r="R101" s="15"/>
      <c r="S101" s="15"/>
      <c r="T101" s="15"/>
      <c r="U101" s="36" t="s">
        <v>92</v>
      </c>
      <c r="V101" s="15"/>
      <c r="W101" s="15"/>
      <c r="X101" s="15"/>
      <c r="Y101" s="15"/>
      <c r="Z101" s="15"/>
      <c r="AA101" s="15"/>
      <c r="AB101" s="15"/>
      <c r="AC101" s="15"/>
      <c r="AD101" s="15"/>
      <c r="AE101" s="15"/>
      <c r="AF101" s="15"/>
      <c r="AG101" s="36" t="s">
        <v>92</v>
      </c>
      <c r="AH101" s="15"/>
      <c r="AI101" s="15"/>
      <c r="AJ101" s="15"/>
      <c r="AK101" s="15"/>
      <c r="AL101" s="15"/>
      <c r="AM101" s="15"/>
      <c r="AN101" s="15"/>
      <c r="AO101" s="15"/>
      <c r="AP101" s="15"/>
      <c r="AQ101" s="15"/>
      <c r="AR101" s="15"/>
      <c r="AS101" s="36" t="s">
        <v>92</v>
      </c>
      <c r="AT101" s="15"/>
      <c r="AU101" s="15"/>
      <c r="AV101" s="15"/>
      <c r="AW101" s="15"/>
      <c r="AX101" s="15"/>
      <c r="AY101" s="15"/>
      <c r="AZ101" s="15"/>
      <c r="BA101" s="15"/>
      <c r="BB101" s="15"/>
      <c r="BC101" s="15"/>
      <c r="BD101" s="15"/>
      <c r="BE101" s="36" t="s">
        <v>92</v>
      </c>
      <c r="BF101" s="15"/>
      <c r="BG101" s="15"/>
      <c r="BH101" s="15"/>
      <c r="BI101" s="15"/>
      <c r="BJ101" s="15"/>
      <c r="BK101" s="15"/>
      <c r="BL101" s="15"/>
      <c r="BM101" s="15"/>
      <c r="BN101" s="15"/>
      <c r="BO101" s="15"/>
      <c r="BP101" s="15"/>
      <c r="BQ101" s="36" t="s">
        <v>92</v>
      </c>
      <c r="BR101" s="15"/>
      <c r="BS101" s="15"/>
      <c r="BT101" s="15"/>
    </row>
    <row r="102" spans="1:72" ht="15" customHeight="1" x14ac:dyDescent="0.3">
      <c r="I102" s="36" t="s">
        <v>93</v>
      </c>
      <c r="R102" s="15"/>
      <c r="S102" s="15"/>
      <c r="T102" s="15"/>
      <c r="U102" s="36" t="s">
        <v>93</v>
      </c>
      <c r="V102" s="15"/>
      <c r="W102" s="15"/>
      <c r="X102" s="15"/>
      <c r="Y102" s="15"/>
      <c r="Z102" s="15"/>
      <c r="AA102" s="15"/>
      <c r="AB102" s="15"/>
      <c r="AC102" s="15"/>
      <c r="AD102" s="15"/>
      <c r="AE102" s="15"/>
      <c r="AF102" s="15"/>
      <c r="AG102" s="36" t="s">
        <v>93</v>
      </c>
      <c r="AH102" s="15"/>
      <c r="AI102" s="15"/>
      <c r="AJ102" s="15"/>
      <c r="AK102" s="15"/>
      <c r="AL102" s="15"/>
      <c r="AM102" s="15"/>
      <c r="AN102" s="15"/>
      <c r="AO102" s="15"/>
      <c r="AP102" s="15"/>
      <c r="AQ102" s="15"/>
      <c r="AR102" s="15"/>
      <c r="AS102" s="36" t="s">
        <v>93</v>
      </c>
      <c r="AT102" s="15"/>
      <c r="AU102" s="15"/>
      <c r="AV102" s="15"/>
      <c r="AW102" s="15"/>
      <c r="AX102" s="15"/>
      <c r="AY102" s="15"/>
      <c r="AZ102" s="15"/>
      <c r="BA102" s="15"/>
      <c r="BB102" s="15"/>
      <c r="BC102" s="15"/>
      <c r="BD102" s="15"/>
      <c r="BE102" s="36" t="s">
        <v>93</v>
      </c>
      <c r="BF102" s="15"/>
      <c r="BG102" s="15"/>
      <c r="BH102" s="15"/>
      <c r="BI102" s="15"/>
      <c r="BJ102" s="15"/>
      <c r="BK102" s="15"/>
      <c r="BL102" s="15"/>
      <c r="BM102" s="15"/>
      <c r="BN102" s="15"/>
      <c r="BO102" s="15"/>
      <c r="BP102" s="15"/>
      <c r="BQ102" s="36" t="s">
        <v>93</v>
      </c>
      <c r="BR102" s="15"/>
      <c r="BS102" s="15"/>
      <c r="BT102" s="15"/>
    </row>
    <row r="103" spans="1:72" ht="15" customHeight="1" x14ac:dyDescent="0.3">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row>
    <row r="104" spans="1:72" ht="15" customHeight="1" x14ac:dyDescent="0.3">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row>
    <row r="105" spans="1:72" ht="15" customHeight="1" x14ac:dyDescent="0.3">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row>
    <row r="106" spans="1:72" ht="15" customHeight="1" x14ac:dyDescent="0.3">
      <c r="I106" s="37" t="s">
        <v>106</v>
      </c>
      <c r="R106" s="15"/>
      <c r="S106" s="15"/>
      <c r="T106" s="15"/>
      <c r="U106" s="37" t="str">
        <f>R6</f>
        <v>Husin, ST</v>
      </c>
      <c r="V106" s="15"/>
      <c r="W106" s="15"/>
      <c r="X106" s="15"/>
      <c r="Y106" s="15"/>
      <c r="Z106" s="15"/>
      <c r="AA106" s="15"/>
      <c r="AB106" s="15"/>
      <c r="AC106" s="15"/>
      <c r="AD106" s="15"/>
      <c r="AE106" s="15"/>
      <c r="AF106" s="15"/>
      <c r="AG106" s="37" t="str">
        <f>AD6</f>
        <v>Ir. Irwan, IAI</v>
      </c>
      <c r="AH106" s="15"/>
      <c r="AI106" s="15"/>
      <c r="AJ106" s="15"/>
      <c r="AK106" s="15"/>
      <c r="AL106" s="15"/>
      <c r="AM106" s="15"/>
      <c r="AN106" s="15"/>
      <c r="AO106" s="15"/>
      <c r="AP106" s="15"/>
      <c r="AQ106" s="15"/>
      <c r="AR106" s="15"/>
      <c r="AS106" s="37">
        <f>AP6</f>
        <v>0</v>
      </c>
      <c r="AT106" s="15"/>
      <c r="AU106" s="15"/>
      <c r="AV106" s="15"/>
      <c r="AW106" s="15"/>
      <c r="AX106" s="15"/>
      <c r="AY106" s="15"/>
      <c r="AZ106" s="15"/>
      <c r="BA106" s="15"/>
      <c r="BB106" s="15"/>
      <c r="BC106" s="15"/>
      <c r="BD106" s="15"/>
      <c r="BE106" s="37" t="str">
        <f>BB6</f>
        <v>Fikri, ST</v>
      </c>
      <c r="BF106" s="15"/>
      <c r="BG106" s="15"/>
      <c r="BH106" s="15"/>
      <c r="BI106" s="15"/>
      <c r="BJ106" s="15"/>
      <c r="BK106" s="15"/>
      <c r="BL106" s="15"/>
      <c r="BM106" s="15"/>
      <c r="BN106" s="15"/>
      <c r="BO106" s="15"/>
      <c r="BP106" s="15"/>
      <c r="BQ106" s="37" t="s">
        <v>94</v>
      </c>
      <c r="BR106" s="15"/>
      <c r="BS106" s="15"/>
      <c r="BT106" s="15"/>
    </row>
    <row r="107" spans="1:72" ht="15" customHeight="1" x14ac:dyDescent="0.3">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row>
    <row r="108" spans="1:72" ht="15" customHeight="1" x14ac:dyDescent="0.3">
      <c r="A108" s="15" t="s">
        <v>95</v>
      </c>
      <c r="M108" s="15" t="s">
        <v>95</v>
      </c>
      <c r="R108" s="15"/>
      <c r="S108" s="15"/>
      <c r="T108" s="15"/>
      <c r="U108" s="15"/>
      <c r="V108" s="15"/>
      <c r="W108" s="15"/>
      <c r="X108" s="15"/>
      <c r="Y108" s="15" t="s">
        <v>95</v>
      </c>
      <c r="Z108" s="15"/>
      <c r="AA108" s="15"/>
      <c r="AB108" s="15"/>
      <c r="AC108" s="15"/>
      <c r="AD108" s="15"/>
      <c r="AE108" s="15"/>
      <c r="AF108" s="15"/>
      <c r="AG108" s="15"/>
      <c r="AH108" s="15"/>
      <c r="AI108" s="15"/>
      <c r="AJ108" s="15"/>
      <c r="AK108" s="15" t="s">
        <v>95</v>
      </c>
      <c r="AL108" s="15"/>
      <c r="AM108" s="15"/>
      <c r="AN108" s="15"/>
      <c r="AO108" s="15"/>
      <c r="AP108" s="15"/>
      <c r="AQ108" s="15"/>
      <c r="AR108" s="15"/>
      <c r="AS108" s="15"/>
      <c r="AT108" s="15"/>
      <c r="AU108" s="15"/>
      <c r="AV108" s="15"/>
      <c r="AW108" s="15" t="s">
        <v>95</v>
      </c>
      <c r="AX108" s="15"/>
      <c r="AY108" s="15"/>
      <c r="AZ108" s="15"/>
      <c r="BA108" s="15"/>
      <c r="BB108" s="15"/>
      <c r="BC108" s="15"/>
      <c r="BD108" s="15"/>
      <c r="BE108" s="15"/>
      <c r="BF108" s="15"/>
      <c r="BG108" s="15"/>
      <c r="BH108" s="15"/>
      <c r="BI108" s="15" t="s">
        <v>95</v>
      </c>
      <c r="BJ108" s="15"/>
      <c r="BK108" s="15"/>
      <c r="BL108" s="15"/>
      <c r="BM108" s="15"/>
      <c r="BN108" s="15"/>
      <c r="BO108" s="15"/>
      <c r="BP108" s="15"/>
      <c r="BQ108" s="15"/>
      <c r="BR108" s="15"/>
      <c r="BS108" s="15"/>
      <c r="BT108" s="15"/>
    </row>
    <row r="109" spans="1:72" ht="15" customHeight="1" x14ac:dyDescent="0.3">
      <c r="A109" s="1" t="str">
        <f>'Daftar Pengalaman Kerja'!G75</f>
        <v>CV.TOHA PRATAMA</v>
      </c>
      <c r="M109" s="1" t="str">
        <f>A109</f>
        <v>CV.TOHA PRATAMA</v>
      </c>
      <c r="R109" s="15"/>
      <c r="S109" s="15"/>
      <c r="T109" s="15"/>
      <c r="U109" s="15"/>
      <c r="V109" s="15"/>
      <c r="W109" s="15"/>
      <c r="X109" s="15"/>
      <c r="Y109" s="1" t="str">
        <f>M109</f>
        <v>CV.TOHA PRATAMA</v>
      </c>
      <c r="Z109" s="15"/>
      <c r="AA109" s="15"/>
      <c r="AB109" s="15"/>
      <c r="AC109" s="15"/>
      <c r="AD109" s="15"/>
      <c r="AE109" s="15"/>
      <c r="AF109" s="15"/>
      <c r="AG109" s="15"/>
      <c r="AH109" s="15"/>
      <c r="AI109" s="15"/>
      <c r="AJ109" s="15"/>
      <c r="AK109" s="1" t="str">
        <f>Y109</f>
        <v>CV.TOHA PRATAMA</v>
      </c>
      <c r="AL109" s="15"/>
      <c r="AM109" s="15"/>
      <c r="AN109" s="15"/>
      <c r="AO109" s="15"/>
      <c r="AP109" s="15"/>
      <c r="AQ109" s="15"/>
      <c r="AR109" s="15"/>
      <c r="AS109" s="15"/>
      <c r="AT109" s="15"/>
      <c r="AU109" s="15"/>
      <c r="AV109" s="15"/>
      <c r="AW109" s="1" t="str">
        <f>AK109</f>
        <v>CV.TOHA PRATAMA</v>
      </c>
      <c r="AX109" s="15"/>
      <c r="AY109" s="15"/>
      <c r="AZ109" s="15"/>
      <c r="BA109" s="15"/>
      <c r="BB109" s="15"/>
      <c r="BC109" s="15"/>
      <c r="BD109" s="15"/>
      <c r="BE109" s="15"/>
      <c r="BF109" s="15"/>
      <c r="BG109" s="15"/>
      <c r="BH109" s="15"/>
      <c r="BI109" s="1" t="str">
        <f>AW109</f>
        <v>CV.TOHA PRATAMA</v>
      </c>
      <c r="BJ109" s="15"/>
      <c r="BK109" s="15"/>
      <c r="BL109" s="15"/>
      <c r="BM109" s="15"/>
      <c r="BN109" s="15"/>
      <c r="BO109" s="15"/>
      <c r="BP109" s="15"/>
      <c r="BQ109" s="15"/>
      <c r="BR109" s="15"/>
      <c r="BS109" s="15"/>
      <c r="BT109" s="15"/>
    </row>
    <row r="110" spans="1:72" ht="15" customHeight="1" x14ac:dyDescent="0.3">
      <c r="M110" s="1"/>
      <c r="R110" s="15"/>
      <c r="S110" s="15"/>
      <c r="T110" s="15"/>
      <c r="U110" s="15"/>
      <c r="V110" s="15"/>
      <c r="W110" s="15"/>
      <c r="X110" s="15"/>
      <c r="Y110" s="1"/>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row>
    <row r="111" spans="1:72" ht="15" customHeight="1" x14ac:dyDescent="0.3">
      <c r="M111" s="1"/>
      <c r="R111" s="15"/>
      <c r="S111" s="15"/>
      <c r="T111" s="15"/>
      <c r="U111" s="15"/>
      <c r="V111" s="15"/>
      <c r="W111" s="15"/>
      <c r="X111" s="15"/>
      <c r="Y111" s="1"/>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row>
    <row r="112" spans="1:72" ht="15" customHeight="1" x14ac:dyDescent="0.3">
      <c r="M112" s="1"/>
      <c r="R112" s="15"/>
      <c r="S112" s="15"/>
      <c r="T112" s="15"/>
      <c r="U112" s="15"/>
      <c r="V112" s="15"/>
      <c r="W112" s="15"/>
      <c r="X112" s="15"/>
      <c r="Y112" s="1"/>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row>
    <row r="113" spans="1:72" ht="15" customHeight="1" x14ac:dyDescent="0.3">
      <c r="M113" s="1"/>
      <c r="R113" s="15"/>
      <c r="S113" s="15"/>
      <c r="T113" s="15"/>
      <c r="U113" s="15"/>
      <c r="V113" s="15"/>
      <c r="W113" s="15"/>
      <c r="X113" s="15"/>
      <c r="Y113" s="1"/>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row>
    <row r="114" spans="1:72" ht="15" customHeight="1" x14ac:dyDescent="0.3">
      <c r="A114" s="44" t="str">
        <f>'Daftar Pengalaman Kerja'!G80</f>
        <v>ANDI NUR FAISAL, ST</v>
      </c>
      <c r="M114" s="44" t="str">
        <f t="shared" ref="M114" si="7">A114</f>
        <v>ANDI NUR FAISAL, ST</v>
      </c>
      <c r="R114" s="15"/>
      <c r="S114" s="15"/>
      <c r="T114" s="15"/>
      <c r="U114" s="15"/>
      <c r="V114" s="15"/>
      <c r="W114" s="15"/>
      <c r="X114" s="15"/>
      <c r="Y114" s="44" t="str">
        <f t="shared" ref="Y114:Y115" si="8">M114</f>
        <v>ANDI NUR FAISAL, ST</v>
      </c>
      <c r="Z114" s="15"/>
      <c r="AA114" s="15"/>
      <c r="AB114" s="15"/>
      <c r="AC114" s="15"/>
      <c r="AD114" s="15"/>
      <c r="AE114" s="15"/>
      <c r="AF114" s="15"/>
      <c r="AG114" s="15"/>
      <c r="AH114" s="15"/>
      <c r="AI114" s="15"/>
      <c r="AJ114" s="15"/>
      <c r="AK114" s="44" t="str">
        <f>Y114</f>
        <v>ANDI NUR FAISAL, ST</v>
      </c>
      <c r="AL114" s="15"/>
      <c r="AM114" s="15"/>
      <c r="AN114" s="15"/>
      <c r="AO114" s="15"/>
      <c r="AP114" s="15"/>
      <c r="AQ114" s="15"/>
      <c r="AR114" s="15"/>
      <c r="AS114" s="15"/>
      <c r="AT114" s="15"/>
      <c r="AU114" s="15"/>
      <c r="AV114" s="15"/>
      <c r="AW114" s="44" t="str">
        <f>AK114</f>
        <v>ANDI NUR FAISAL, ST</v>
      </c>
      <c r="AX114" s="15"/>
      <c r="AY114" s="15"/>
      <c r="AZ114" s="15"/>
      <c r="BA114" s="15"/>
      <c r="BB114" s="15"/>
      <c r="BC114" s="15"/>
      <c r="BD114" s="15"/>
      <c r="BE114" s="15"/>
      <c r="BF114" s="15"/>
      <c r="BG114" s="15"/>
      <c r="BH114" s="15"/>
      <c r="BI114" s="44" t="str">
        <f>AW114</f>
        <v>ANDI NUR FAISAL, ST</v>
      </c>
      <c r="BJ114" s="15"/>
      <c r="BK114" s="15"/>
      <c r="BL114" s="15"/>
      <c r="BM114" s="15"/>
      <c r="BN114" s="15"/>
      <c r="BO114" s="15"/>
      <c r="BP114" s="15"/>
      <c r="BQ114" s="15"/>
      <c r="BR114" s="15"/>
      <c r="BS114" s="15"/>
      <c r="BT114" s="15"/>
    </row>
    <row r="115" spans="1:72" ht="15" customHeight="1" x14ac:dyDescent="0.3">
      <c r="A115" s="15" t="str">
        <f>'Daftar Pengalaman Kerja'!G81</f>
        <v>Direktur</v>
      </c>
      <c r="M115" s="15" t="str">
        <f>A115</f>
        <v>Direktur</v>
      </c>
      <c r="R115" s="15"/>
      <c r="S115" s="15"/>
      <c r="T115" s="15"/>
      <c r="U115" s="15"/>
      <c r="V115" s="15"/>
      <c r="W115" s="15"/>
      <c r="X115" s="15"/>
      <c r="Y115" s="1" t="str">
        <f t="shared" si="8"/>
        <v>Direktur</v>
      </c>
      <c r="Z115" s="15"/>
      <c r="AA115" s="15"/>
      <c r="AB115" s="15"/>
      <c r="AC115" s="15"/>
      <c r="AD115" s="15"/>
      <c r="AE115" s="15"/>
      <c r="AF115" s="15"/>
      <c r="AG115" s="15"/>
      <c r="AH115" s="15"/>
      <c r="AI115" s="15"/>
      <c r="AJ115" s="15"/>
      <c r="AK115" s="15" t="str">
        <f>Y115</f>
        <v>Direktur</v>
      </c>
      <c r="AL115" s="15"/>
      <c r="AM115" s="15"/>
      <c r="AN115" s="15"/>
      <c r="AO115" s="15"/>
      <c r="AP115" s="15"/>
      <c r="AQ115" s="15"/>
      <c r="AR115" s="15"/>
      <c r="AS115" s="15"/>
      <c r="AT115" s="15"/>
      <c r="AU115" s="15"/>
      <c r="AV115" s="15"/>
      <c r="AW115" s="15" t="str">
        <f>AK115</f>
        <v>Direktur</v>
      </c>
      <c r="AX115" s="15"/>
      <c r="AY115" s="15"/>
      <c r="AZ115" s="15"/>
      <c r="BA115" s="15"/>
      <c r="BB115" s="15"/>
      <c r="BC115" s="15"/>
      <c r="BD115" s="15"/>
      <c r="BE115" s="15"/>
      <c r="BF115" s="15"/>
      <c r="BG115" s="15"/>
      <c r="BH115" s="15"/>
      <c r="BI115" s="15" t="str">
        <f>AW115</f>
        <v>Direktur</v>
      </c>
      <c r="BJ115" s="15"/>
      <c r="BK115" s="15"/>
      <c r="BL115" s="15"/>
      <c r="BM115" s="15"/>
      <c r="BN115" s="15"/>
      <c r="BO115" s="15"/>
      <c r="BP115" s="15"/>
      <c r="BQ115" s="15"/>
      <c r="BR115" s="15"/>
      <c r="BS115" s="15"/>
      <c r="BT115" s="15"/>
    </row>
    <row r="116" spans="1:72" ht="15" customHeight="1" x14ac:dyDescent="0.3">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row>
    <row r="117" spans="1:72" ht="15" customHeight="1" x14ac:dyDescent="0.3">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row>
    <row r="118" spans="1:72" ht="15" customHeight="1" x14ac:dyDescent="0.3">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row>
    <row r="119" spans="1:72" ht="15" customHeight="1" x14ac:dyDescent="0.3">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row>
    <row r="120" spans="1:72" ht="15" customHeight="1" x14ac:dyDescent="0.3">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row>
    <row r="121" spans="1:72" ht="15" customHeight="1" x14ac:dyDescent="0.3">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row>
    <row r="122" spans="1:72" ht="15" customHeight="1" x14ac:dyDescent="0.3">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row>
    <row r="123" spans="1:72" ht="15" customHeight="1" x14ac:dyDescent="0.3">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row>
    <row r="124" spans="1:72" ht="15" customHeight="1" x14ac:dyDescent="0.3">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row>
    <row r="125" spans="1:72" ht="15" customHeight="1" x14ac:dyDescent="0.3">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row>
    <row r="126" spans="1:72" ht="15" customHeight="1" x14ac:dyDescent="0.3">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row>
    <row r="127" spans="1:72" ht="15" customHeight="1" x14ac:dyDescent="0.3">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row>
    <row r="128" spans="1:72" ht="15" customHeight="1" x14ac:dyDescent="0.3">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row>
    <row r="129" spans="18:72" ht="15" customHeight="1" x14ac:dyDescent="0.3">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row>
    <row r="130" spans="18:72" ht="15" customHeight="1" x14ac:dyDescent="0.3">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row>
    <row r="131" spans="18:72" ht="15" customHeight="1" x14ac:dyDescent="0.3">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row>
    <row r="132" spans="18:72" x14ac:dyDescent="0.3">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row>
    <row r="133" spans="18:72" x14ac:dyDescent="0.3">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row>
    <row r="134" spans="18:72" x14ac:dyDescent="0.3">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row>
    <row r="135" spans="18:72" x14ac:dyDescent="0.3">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row>
  </sheetData>
  <mergeCells count="436">
    <mergeCell ref="BB68:BH68"/>
    <mergeCell ref="BB69:BH69"/>
    <mergeCell ref="BB80:BH80"/>
    <mergeCell ref="BB81:BH81"/>
    <mergeCell ref="BB82:BH82"/>
    <mergeCell ref="BB83:BH83"/>
    <mergeCell ref="BB84:BH84"/>
    <mergeCell ref="BB39:BH39"/>
    <mergeCell ref="BB50:BH50"/>
    <mergeCell ref="BB51:BH51"/>
    <mergeCell ref="BB52:BH52"/>
    <mergeCell ref="BB53:BH53"/>
    <mergeCell ref="BB54:BH54"/>
    <mergeCell ref="BB65:BH65"/>
    <mergeCell ref="BB66:BH66"/>
    <mergeCell ref="BB67:BH67"/>
    <mergeCell ref="BB20:BH20"/>
    <mergeCell ref="BB21:BH21"/>
    <mergeCell ref="BB22:BH22"/>
    <mergeCell ref="BB23:BH23"/>
    <mergeCell ref="BB24:BH24"/>
    <mergeCell ref="BB35:BH35"/>
    <mergeCell ref="BB36:BH36"/>
    <mergeCell ref="BB37:BH37"/>
    <mergeCell ref="BB38:BH38"/>
    <mergeCell ref="AP68:AV68"/>
    <mergeCell ref="AP69:AV69"/>
    <mergeCell ref="AP80:AV80"/>
    <mergeCell ref="AP81:AV81"/>
    <mergeCell ref="AP82:AV82"/>
    <mergeCell ref="AP83:AV83"/>
    <mergeCell ref="AP84:AV84"/>
    <mergeCell ref="AP39:AV39"/>
    <mergeCell ref="AP50:AV50"/>
    <mergeCell ref="AP51:AV51"/>
    <mergeCell ref="AP52:AV52"/>
    <mergeCell ref="AP53:AV53"/>
    <mergeCell ref="AP54:AV54"/>
    <mergeCell ref="AP65:AV65"/>
    <mergeCell ref="AP66:AV66"/>
    <mergeCell ref="AP67:AV67"/>
    <mergeCell ref="AP20:AV20"/>
    <mergeCell ref="AP21:AV21"/>
    <mergeCell ref="AP22:AV22"/>
    <mergeCell ref="AP23:AV23"/>
    <mergeCell ref="AP24:AV24"/>
    <mergeCell ref="AP35:AV35"/>
    <mergeCell ref="AP36:AV36"/>
    <mergeCell ref="AP37:AV37"/>
    <mergeCell ref="AP38:AV38"/>
    <mergeCell ref="AD50:AJ50"/>
    <mergeCell ref="AD51:AJ51"/>
    <mergeCell ref="AD52:AJ52"/>
    <mergeCell ref="AD53:AJ53"/>
    <mergeCell ref="AD54:AJ54"/>
    <mergeCell ref="AD20:AJ20"/>
    <mergeCell ref="AD21:AJ21"/>
    <mergeCell ref="AD22:AJ22"/>
    <mergeCell ref="AD23:AJ23"/>
    <mergeCell ref="AD24:AJ24"/>
    <mergeCell ref="R82:X82"/>
    <mergeCell ref="R83:X83"/>
    <mergeCell ref="R84:X84"/>
    <mergeCell ref="AD80:AJ80"/>
    <mergeCell ref="AD81:AJ81"/>
    <mergeCell ref="AD82:AJ82"/>
    <mergeCell ref="AD83:AJ83"/>
    <mergeCell ref="AD84:AJ84"/>
    <mergeCell ref="AD65:AJ65"/>
    <mergeCell ref="AD66:AJ66"/>
    <mergeCell ref="AD67:AJ67"/>
    <mergeCell ref="AD68:AJ68"/>
    <mergeCell ref="AD69:AJ69"/>
    <mergeCell ref="F83:L83"/>
    <mergeCell ref="F84:L84"/>
    <mergeCell ref="R35:X35"/>
    <mergeCell ref="R36:X36"/>
    <mergeCell ref="R37:X37"/>
    <mergeCell ref="R38:X38"/>
    <mergeCell ref="R39:X39"/>
    <mergeCell ref="AD35:AJ35"/>
    <mergeCell ref="AD36:AJ36"/>
    <mergeCell ref="AD37:AJ37"/>
    <mergeCell ref="AD38:AJ38"/>
    <mergeCell ref="AD39:AJ39"/>
    <mergeCell ref="R50:X50"/>
    <mergeCell ref="R51:X51"/>
    <mergeCell ref="R52:X52"/>
    <mergeCell ref="R53:X53"/>
    <mergeCell ref="R54:X54"/>
    <mergeCell ref="R65:X65"/>
    <mergeCell ref="R66:X66"/>
    <mergeCell ref="R67:X67"/>
    <mergeCell ref="R68:X68"/>
    <mergeCell ref="R69:X69"/>
    <mergeCell ref="R80:X80"/>
    <mergeCell ref="R81:X81"/>
    <mergeCell ref="F54:L54"/>
    <mergeCell ref="F65:L65"/>
    <mergeCell ref="F66:L66"/>
    <mergeCell ref="F67:L67"/>
    <mergeCell ref="F68:L68"/>
    <mergeCell ref="F69:L69"/>
    <mergeCell ref="F80:L80"/>
    <mergeCell ref="F81:L81"/>
    <mergeCell ref="F82:L82"/>
    <mergeCell ref="F35:L35"/>
    <mergeCell ref="F36:L36"/>
    <mergeCell ref="F37:L37"/>
    <mergeCell ref="F38:L38"/>
    <mergeCell ref="F39:L39"/>
    <mergeCell ref="F50:L50"/>
    <mergeCell ref="F51:L51"/>
    <mergeCell ref="F52:L52"/>
    <mergeCell ref="F53:L53"/>
    <mergeCell ref="F20:L20"/>
    <mergeCell ref="F21:L21"/>
    <mergeCell ref="F22:L22"/>
    <mergeCell ref="F24:L24"/>
    <mergeCell ref="F23:L23"/>
    <mergeCell ref="R20:X20"/>
    <mergeCell ref="R21:X21"/>
    <mergeCell ref="R22:X22"/>
    <mergeCell ref="R23:X23"/>
    <mergeCell ref="R24:X24"/>
    <mergeCell ref="BK85:BL85"/>
    <mergeCell ref="BK86:BL86"/>
    <mergeCell ref="BK87:BL87"/>
    <mergeCell ref="BK88:BL88"/>
    <mergeCell ref="BI93:BT98"/>
    <mergeCell ref="BJ75:BK75"/>
    <mergeCell ref="BK76:BL76"/>
    <mergeCell ref="BK77:BL77"/>
    <mergeCell ref="BK78:BL78"/>
    <mergeCell ref="BK79:BL79"/>
    <mergeCell ref="BK80:BL80"/>
    <mergeCell ref="BK64:BL64"/>
    <mergeCell ref="BK65:BL65"/>
    <mergeCell ref="BK70:BL70"/>
    <mergeCell ref="BK71:BL71"/>
    <mergeCell ref="BK72:BL72"/>
    <mergeCell ref="BK73:BL73"/>
    <mergeCell ref="BK57:BL57"/>
    <mergeCell ref="BK58:BL58"/>
    <mergeCell ref="BJ60:BK60"/>
    <mergeCell ref="BK61:BL61"/>
    <mergeCell ref="BK62:BL62"/>
    <mergeCell ref="BK63:BL63"/>
    <mergeCell ref="BK47:BL47"/>
    <mergeCell ref="BK48:BL48"/>
    <mergeCell ref="BK49:BL49"/>
    <mergeCell ref="BK50:BL50"/>
    <mergeCell ref="BK55:BL55"/>
    <mergeCell ref="BK56:BL56"/>
    <mergeCell ref="BK40:BL40"/>
    <mergeCell ref="BK41:BL41"/>
    <mergeCell ref="BK42:BL42"/>
    <mergeCell ref="BK43:BL43"/>
    <mergeCell ref="BJ45:BK45"/>
    <mergeCell ref="BK46:BL46"/>
    <mergeCell ref="BJ30:BK30"/>
    <mergeCell ref="BK31:BL31"/>
    <mergeCell ref="BK32:BL32"/>
    <mergeCell ref="BK33:BL33"/>
    <mergeCell ref="BK34:BL34"/>
    <mergeCell ref="BK35:BL35"/>
    <mergeCell ref="BK19:BL19"/>
    <mergeCell ref="BK20:BL20"/>
    <mergeCell ref="BK25:BL25"/>
    <mergeCell ref="BK26:BL26"/>
    <mergeCell ref="BK27:BL27"/>
    <mergeCell ref="BK28:BL28"/>
    <mergeCell ref="BJ13:BL13"/>
    <mergeCell ref="BJ14:BL14"/>
    <mergeCell ref="BJ15:BK15"/>
    <mergeCell ref="BK16:BL16"/>
    <mergeCell ref="BK17:BL17"/>
    <mergeCell ref="BK18:BL18"/>
    <mergeCell ref="AW93:BH98"/>
    <mergeCell ref="BJ4:BL4"/>
    <mergeCell ref="BJ5:BL5"/>
    <mergeCell ref="BJ6:BL6"/>
    <mergeCell ref="BJ7:BL7"/>
    <mergeCell ref="BJ8:BL8"/>
    <mergeCell ref="BJ9:BL9"/>
    <mergeCell ref="BJ10:BL10"/>
    <mergeCell ref="BJ11:BL11"/>
    <mergeCell ref="BJ12:BL12"/>
    <mergeCell ref="AY79:AZ79"/>
    <mergeCell ref="AY80:AZ80"/>
    <mergeCell ref="AY85:AZ85"/>
    <mergeCell ref="AY86:AZ86"/>
    <mergeCell ref="AY87:AZ87"/>
    <mergeCell ref="AY88:AZ88"/>
    <mergeCell ref="AY72:AZ72"/>
    <mergeCell ref="AY73:AZ73"/>
    <mergeCell ref="AX75:AY75"/>
    <mergeCell ref="AY76:AZ76"/>
    <mergeCell ref="AY77:AZ77"/>
    <mergeCell ref="AY78:AZ78"/>
    <mergeCell ref="AY62:AZ62"/>
    <mergeCell ref="AY63:AZ63"/>
    <mergeCell ref="AY64:AZ64"/>
    <mergeCell ref="AY65:AZ65"/>
    <mergeCell ref="AY70:AZ70"/>
    <mergeCell ref="AY71:AZ71"/>
    <mergeCell ref="AY55:AZ55"/>
    <mergeCell ref="AY56:AZ56"/>
    <mergeCell ref="AY57:AZ57"/>
    <mergeCell ref="AY58:AZ58"/>
    <mergeCell ref="AX60:AY60"/>
    <mergeCell ref="AY61:AZ61"/>
    <mergeCell ref="AX45:AY45"/>
    <mergeCell ref="AY46:AZ46"/>
    <mergeCell ref="AY47:AZ47"/>
    <mergeCell ref="AY48:AZ48"/>
    <mergeCell ref="AY49:AZ49"/>
    <mergeCell ref="AY50:AZ50"/>
    <mergeCell ref="AY34:AZ34"/>
    <mergeCell ref="AY35:AZ35"/>
    <mergeCell ref="AY40:AZ40"/>
    <mergeCell ref="AY41:AZ41"/>
    <mergeCell ref="AY42:AZ42"/>
    <mergeCell ref="AY43:AZ43"/>
    <mergeCell ref="AY27:AZ27"/>
    <mergeCell ref="AY28:AZ28"/>
    <mergeCell ref="AX30:AY30"/>
    <mergeCell ref="AY31:AZ31"/>
    <mergeCell ref="AY32:AZ32"/>
    <mergeCell ref="AY33:AZ33"/>
    <mergeCell ref="AY17:AZ17"/>
    <mergeCell ref="AY18:AZ18"/>
    <mergeCell ref="AY19:AZ19"/>
    <mergeCell ref="AY20:AZ20"/>
    <mergeCell ref="AY25:AZ25"/>
    <mergeCell ref="AY26:AZ26"/>
    <mergeCell ref="AX11:AZ11"/>
    <mergeCell ref="AX12:AZ12"/>
    <mergeCell ref="AX13:AZ13"/>
    <mergeCell ref="AX14:AZ14"/>
    <mergeCell ref="AX15:AY15"/>
    <mergeCell ref="AY16:AZ16"/>
    <mergeCell ref="AM87:AN87"/>
    <mergeCell ref="AM88:AN88"/>
    <mergeCell ref="AK93:AV98"/>
    <mergeCell ref="AX4:AZ4"/>
    <mergeCell ref="AX5:AZ5"/>
    <mergeCell ref="AX6:AZ6"/>
    <mergeCell ref="AX7:AZ7"/>
    <mergeCell ref="AX8:AZ8"/>
    <mergeCell ref="AX9:AZ9"/>
    <mergeCell ref="AX10:AZ10"/>
    <mergeCell ref="AM77:AN77"/>
    <mergeCell ref="AM78:AN78"/>
    <mergeCell ref="AM79:AN79"/>
    <mergeCell ref="AM80:AN80"/>
    <mergeCell ref="AM85:AN85"/>
    <mergeCell ref="AM86:AN86"/>
    <mergeCell ref="AM70:AN70"/>
    <mergeCell ref="AM71:AN71"/>
    <mergeCell ref="AM72:AN72"/>
    <mergeCell ref="AM73:AN73"/>
    <mergeCell ref="AL75:AM75"/>
    <mergeCell ref="AM76:AN76"/>
    <mergeCell ref="AL60:AM60"/>
    <mergeCell ref="AM61:AN61"/>
    <mergeCell ref="AM62:AN62"/>
    <mergeCell ref="AM63:AN63"/>
    <mergeCell ref="AM64:AN64"/>
    <mergeCell ref="AM65:AN65"/>
    <mergeCell ref="AM49:AN49"/>
    <mergeCell ref="AM50:AN50"/>
    <mergeCell ref="AM55:AN55"/>
    <mergeCell ref="AM56:AN56"/>
    <mergeCell ref="AM57:AN57"/>
    <mergeCell ref="AM58:AN58"/>
    <mergeCell ref="AM42:AN42"/>
    <mergeCell ref="AM43:AN43"/>
    <mergeCell ref="AL45:AM45"/>
    <mergeCell ref="AM46:AN46"/>
    <mergeCell ref="AM47:AN47"/>
    <mergeCell ref="AM48:AN48"/>
    <mergeCell ref="AM32:AN32"/>
    <mergeCell ref="AM33:AN33"/>
    <mergeCell ref="AM34:AN34"/>
    <mergeCell ref="AM35:AN35"/>
    <mergeCell ref="AM40:AN40"/>
    <mergeCell ref="AM41:AN41"/>
    <mergeCell ref="AM25:AN25"/>
    <mergeCell ref="AM26:AN26"/>
    <mergeCell ref="AM27:AN27"/>
    <mergeCell ref="AM28:AN28"/>
    <mergeCell ref="AL30:AM30"/>
    <mergeCell ref="AM31:AN31"/>
    <mergeCell ref="AL15:AM15"/>
    <mergeCell ref="AM16:AN16"/>
    <mergeCell ref="AM17:AN17"/>
    <mergeCell ref="AM18:AN18"/>
    <mergeCell ref="AM19:AN19"/>
    <mergeCell ref="AM20:AN20"/>
    <mergeCell ref="AL9:AN9"/>
    <mergeCell ref="AL10:AN10"/>
    <mergeCell ref="AL11:AN11"/>
    <mergeCell ref="AL12:AN12"/>
    <mergeCell ref="AL13:AN13"/>
    <mergeCell ref="AL14:AN14"/>
    <mergeCell ref="AA85:AB85"/>
    <mergeCell ref="AA86:AB86"/>
    <mergeCell ref="AA87:AB87"/>
    <mergeCell ref="AA63:AB63"/>
    <mergeCell ref="AA47:AB47"/>
    <mergeCell ref="AA48:AB48"/>
    <mergeCell ref="AA49:AB49"/>
    <mergeCell ref="AA50:AB50"/>
    <mergeCell ref="AA55:AB55"/>
    <mergeCell ref="AA56:AB56"/>
    <mergeCell ref="AA40:AB40"/>
    <mergeCell ref="AA41:AB41"/>
    <mergeCell ref="AA42:AB42"/>
    <mergeCell ref="AA43:AB43"/>
    <mergeCell ref="Z45:AA45"/>
    <mergeCell ref="AA46:AB46"/>
    <mergeCell ref="Z30:AA30"/>
    <mergeCell ref="AA31:AB31"/>
    <mergeCell ref="AA88:AB88"/>
    <mergeCell ref="Y93:AJ98"/>
    <mergeCell ref="AL4:AN4"/>
    <mergeCell ref="AL5:AN5"/>
    <mergeCell ref="AL6:AN6"/>
    <mergeCell ref="AL7:AN7"/>
    <mergeCell ref="AL8:AN8"/>
    <mergeCell ref="Z75:AA75"/>
    <mergeCell ref="AA76:AB76"/>
    <mergeCell ref="AA77:AB77"/>
    <mergeCell ref="AA78:AB78"/>
    <mergeCell ref="AA79:AB79"/>
    <mergeCell ref="AA80:AB80"/>
    <mergeCell ref="AA64:AB64"/>
    <mergeCell ref="AA65:AB65"/>
    <mergeCell ref="AA70:AB70"/>
    <mergeCell ref="AA71:AB71"/>
    <mergeCell ref="AA72:AB72"/>
    <mergeCell ref="AA73:AB73"/>
    <mergeCell ref="AA57:AB57"/>
    <mergeCell ref="AA58:AB58"/>
    <mergeCell ref="Z60:AA60"/>
    <mergeCell ref="AA61:AB61"/>
    <mergeCell ref="AA62:AB62"/>
    <mergeCell ref="AA32:AB32"/>
    <mergeCell ref="AA33:AB33"/>
    <mergeCell ref="AA34:AB34"/>
    <mergeCell ref="AA35:AB35"/>
    <mergeCell ref="AA19:AB19"/>
    <mergeCell ref="AA20:AB20"/>
    <mergeCell ref="AA25:AB25"/>
    <mergeCell ref="AA26:AB26"/>
    <mergeCell ref="AA27:AB27"/>
    <mergeCell ref="AA28:AB28"/>
    <mergeCell ref="Z13:AB13"/>
    <mergeCell ref="Z14:AB14"/>
    <mergeCell ref="Z15:AA15"/>
    <mergeCell ref="AA16:AB16"/>
    <mergeCell ref="AA17:AB17"/>
    <mergeCell ref="AA18:AB18"/>
    <mergeCell ref="M93:X98"/>
    <mergeCell ref="Z4:AB4"/>
    <mergeCell ref="Z5:AB5"/>
    <mergeCell ref="Z6:AB6"/>
    <mergeCell ref="Z7:AB7"/>
    <mergeCell ref="Z8:AB8"/>
    <mergeCell ref="Z9:AB9"/>
    <mergeCell ref="Z10:AB10"/>
    <mergeCell ref="Z11:AB11"/>
    <mergeCell ref="Z12:AB12"/>
    <mergeCell ref="O79:P79"/>
    <mergeCell ref="O80:P80"/>
    <mergeCell ref="O85:P85"/>
    <mergeCell ref="O86:P86"/>
    <mergeCell ref="O87:P87"/>
    <mergeCell ref="O88:P88"/>
    <mergeCell ref="O72:P72"/>
    <mergeCell ref="O73:P73"/>
    <mergeCell ref="N75:O75"/>
    <mergeCell ref="O76:P76"/>
    <mergeCell ref="O77:P77"/>
    <mergeCell ref="O78:P78"/>
    <mergeCell ref="O62:P62"/>
    <mergeCell ref="O63:P63"/>
    <mergeCell ref="O64:P64"/>
    <mergeCell ref="O65:P65"/>
    <mergeCell ref="O70:P70"/>
    <mergeCell ref="O71:P71"/>
    <mergeCell ref="O56:P56"/>
    <mergeCell ref="O57:P57"/>
    <mergeCell ref="O58:P58"/>
    <mergeCell ref="N60:O60"/>
    <mergeCell ref="O61:P61"/>
    <mergeCell ref="N45:O45"/>
    <mergeCell ref="O46:P46"/>
    <mergeCell ref="O47:P47"/>
    <mergeCell ref="O48:P48"/>
    <mergeCell ref="O49:P49"/>
    <mergeCell ref="O50:P50"/>
    <mergeCell ref="O42:P42"/>
    <mergeCell ref="O43:P43"/>
    <mergeCell ref="O27:P27"/>
    <mergeCell ref="O28:P28"/>
    <mergeCell ref="N30:O30"/>
    <mergeCell ref="O31:P31"/>
    <mergeCell ref="O32:P32"/>
    <mergeCell ref="O33:P33"/>
    <mergeCell ref="O55:P55"/>
    <mergeCell ref="A93:L98"/>
    <mergeCell ref="N4:P4"/>
    <mergeCell ref="N5:P5"/>
    <mergeCell ref="N6:P6"/>
    <mergeCell ref="N7:P7"/>
    <mergeCell ref="N8:P8"/>
    <mergeCell ref="N9:P9"/>
    <mergeCell ref="N10:P10"/>
    <mergeCell ref="O17:P17"/>
    <mergeCell ref="O18:P18"/>
    <mergeCell ref="O19:P19"/>
    <mergeCell ref="O20:P20"/>
    <mergeCell ref="O25:P25"/>
    <mergeCell ref="O26:P26"/>
    <mergeCell ref="N11:P11"/>
    <mergeCell ref="N12:P12"/>
    <mergeCell ref="N13:P13"/>
    <mergeCell ref="N14:P14"/>
    <mergeCell ref="N15:O15"/>
    <mergeCell ref="O16:P16"/>
    <mergeCell ref="O34:P34"/>
    <mergeCell ref="O35:P35"/>
    <mergeCell ref="O40:P40"/>
    <mergeCell ref="O41:P41"/>
  </mergeCells>
  <pageMargins left="0.7" right="0.7" top="0.75" bottom="0.75" header="0.3" footer="0.3"/>
  <pageSetup paperSize="9" scale="87" orientation="portrait" horizontalDpi="4294967293" verticalDpi="4294967293" r:id="rId1"/>
  <rowBreaks count="2" manualBreakCount="2">
    <brk id="44" max="71" man="1"/>
    <brk id="74" max="71" man="1"/>
  </rowBreaks>
  <colBreaks count="4" manualBreakCount="4">
    <brk id="24" min="1" max="124" man="1"/>
    <brk id="36" min="1" max="124" man="1"/>
    <brk id="48" min="1" max="124" man="1"/>
    <brk id="60" min="1" max="124"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83"/>
  <sheetViews>
    <sheetView view="pageBreakPreview" topLeftCell="A52" zoomScale="115" zoomScaleNormal="115" zoomScaleSheetLayoutView="115" workbookViewId="0">
      <selection activeCell="Q66" sqref="Q66"/>
    </sheetView>
  </sheetViews>
  <sheetFormatPr defaultRowHeight="14.4" x14ac:dyDescent="0.3"/>
  <cols>
    <col min="1" max="92" width="4.6640625" customWidth="1"/>
  </cols>
  <sheetData>
    <row r="1" spans="1:19" x14ac:dyDescent="0.3">
      <c r="A1" s="222" t="s">
        <v>131</v>
      </c>
      <c r="B1" s="222"/>
      <c r="C1" s="222"/>
      <c r="D1" s="222"/>
      <c r="E1" s="222"/>
      <c r="F1" s="222"/>
      <c r="G1" s="222"/>
      <c r="H1" s="222"/>
      <c r="I1" s="222"/>
      <c r="J1" s="222"/>
      <c r="K1" s="222"/>
      <c r="L1" s="222"/>
      <c r="M1" s="222"/>
      <c r="N1" s="222"/>
      <c r="O1" s="222"/>
    </row>
    <row r="2" spans="1:19" x14ac:dyDescent="0.3">
      <c r="A2" s="104"/>
      <c r="B2" s="104"/>
      <c r="C2" s="104"/>
      <c r="D2" s="104"/>
      <c r="E2" s="104"/>
      <c r="F2" s="104"/>
      <c r="G2" s="104"/>
      <c r="H2" s="104"/>
      <c r="I2" s="104"/>
      <c r="J2" s="104"/>
      <c r="K2" s="104"/>
      <c r="L2" s="104"/>
      <c r="M2" s="104"/>
      <c r="N2" s="104"/>
      <c r="O2" s="104"/>
    </row>
    <row r="3" spans="1:19" x14ac:dyDescent="0.3">
      <c r="A3" s="104" t="s">
        <v>132</v>
      </c>
      <c r="B3" s="104"/>
      <c r="C3" s="104"/>
      <c r="D3" s="104"/>
      <c r="E3" s="104"/>
      <c r="F3" s="104"/>
      <c r="G3" s="104"/>
      <c r="H3" s="104"/>
      <c r="I3" s="104"/>
      <c r="J3" s="104"/>
      <c r="K3" s="104"/>
      <c r="L3" s="104"/>
      <c r="M3" s="104"/>
      <c r="N3" s="104"/>
      <c r="O3" s="104"/>
    </row>
    <row r="4" spans="1:19" x14ac:dyDescent="0.3">
      <c r="A4" s="104" t="s">
        <v>133</v>
      </c>
      <c r="B4" s="104"/>
      <c r="C4" s="105" t="s">
        <v>35</v>
      </c>
      <c r="D4" s="104" t="str">
        <f>J24</f>
        <v>Ir.Fatmawati</v>
      </c>
      <c r="E4" s="104"/>
      <c r="F4" s="104"/>
      <c r="G4" s="104"/>
      <c r="H4" s="104"/>
      <c r="I4" s="104"/>
      <c r="J4" s="104"/>
      <c r="K4" s="104"/>
      <c r="L4" s="104"/>
      <c r="M4" s="104"/>
      <c r="N4" s="104"/>
      <c r="O4" s="104"/>
    </row>
    <row r="5" spans="1:19" x14ac:dyDescent="0.3">
      <c r="A5" s="104" t="s">
        <v>134</v>
      </c>
      <c r="B5" s="104"/>
      <c r="C5" s="105" t="s">
        <v>35</v>
      </c>
      <c r="D5" s="104" t="s">
        <v>276</v>
      </c>
      <c r="E5" s="104"/>
      <c r="F5" s="104"/>
      <c r="G5" s="104"/>
      <c r="H5" s="104"/>
      <c r="I5" s="104"/>
      <c r="J5" s="104"/>
      <c r="K5" s="104"/>
      <c r="L5" s="104"/>
      <c r="M5" s="104"/>
      <c r="N5" s="104"/>
      <c r="O5" s="104"/>
    </row>
    <row r="6" spans="1:19" x14ac:dyDescent="0.3">
      <c r="A6" s="104"/>
      <c r="B6" s="104"/>
      <c r="C6" s="104"/>
      <c r="D6" s="104"/>
      <c r="E6" s="104"/>
      <c r="F6" s="104"/>
      <c r="G6" s="104"/>
      <c r="H6" s="104"/>
      <c r="I6" s="104"/>
      <c r="J6" s="104"/>
      <c r="K6" s="104"/>
      <c r="L6" s="104"/>
      <c r="M6" s="104"/>
      <c r="N6" s="104"/>
      <c r="O6" s="104"/>
    </row>
    <row r="7" spans="1:19" ht="15" customHeight="1" x14ac:dyDescent="0.3">
      <c r="A7" s="223" t="s">
        <v>340</v>
      </c>
      <c r="B7" s="223"/>
      <c r="C7" s="223"/>
      <c r="D7" s="223"/>
      <c r="E7" s="223"/>
      <c r="F7" s="223"/>
      <c r="G7" s="223"/>
      <c r="H7" s="223"/>
      <c r="I7" s="223"/>
      <c r="J7" s="223"/>
      <c r="K7" s="223"/>
      <c r="L7" s="223"/>
      <c r="M7" s="223"/>
      <c r="N7" s="223"/>
      <c r="O7" s="223"/>
      <c r="P7" s="58"/>
      <c r="Q7" s="58"/>
      <c r="R7" s="58"/>
      <c r="S7" s="58"/>
    </row>
    <row r="8" spans="1:19" x14ac:dyDescent="0.3">
      <c r="A8" s="223"/>
      <c r="B8" s="223"/>
      <c r="C8" s="223"/>
      <c r="D8" s="223"/>
      <c r="E8" s="223"/>
      <c r="F8" s="223"/>
      <c r="G8" s="223"/>
      <c r="H8" s="223"/>
      <c r="I8" s="223"/>
      <c r="J8" s="223"/>
      <c r="K8" s="223"/>
      <c r="L8" s="223"/>
      <c r="M8" s="223"/>
      <c r="N8" s="223"/>
      <c r="O8" s="223"/>
      <c r="P8" s="58"/>
      <c r="Q8" s="58"/>
      <c r="R8" s="58"/>
      <c r="S8" s="58"/>
    </row>
    <row r="9" spans="1:19" x14ac:dyDescent="0.3">
      <c r="A9" s="223"/>
      <c r="B9" s="223"/>
      <c r="C9" s="223"/>
      <c r="D9" s="223"/>
      <c r="E9" s="223"/>
      <c r="F9" s="223"/>
      <c r="G9" s="223"/>
      <c r="H9" s="223"/>
      <c r="I9" s="223"/>
      <c r="J9" s="223"/>
      <c r="K9" s="223"/>
      <c r="L9" s="223"/>
      <c r="M9" s="223"/>
      <c r="N9" s="223"/>
      <c r="O9" s="223"/>
      <c r="P9" s="58"/>
      <c r="Q9" s="58"/>
      <c r="R9" s="58"/>
      <c r="S9" s="58"/>
    </row>
    <row r="10" spans="1:19" x14ac:dyDescent="0.3">
      <c r="A10" s="223"/>
      <c r="B10" s="223"/>
      <c r="C10" s="223"/>
      <c r="D10" s="223"/>
      <c r="E10" s="223"/>
      <c r="F10" s="223"/>
      <c r="G10" s="223"/>
      <c r="H10" s="223"/>
      <c r="I10" s="223"/>
      <c r="J10" s="223"/>
      <c r="K10" s="223"/>
      <c r="L10" s="223"/>
      <c r="M10" s="223"/>
      <c r="N10" s="223"/>
      <c r="O10" s="223"/>
      <c r="P10" s="58"/>
      <c r="Q10" s="58"/>
      <c r="R10" s="58"/>
      <c r="S10" s="58"/>
    </row>
    <row r="11" spans="1:19" ht="12.75" customHeight="1" x14ac:dyDescent="0.3">
      <c r="A11" s="223"/>
      <c r="B11" s="223"/>
      <c r="C11" s="223"/>
      <c r="D11" s="223"/>
      <c r="E11" s="223"/>
      <c r="F11" s="223"/>
      <c r="G11" s="223"/>
      <c r="H11" s="223"/>
      <c r="I11" s="223"/>
      <c r="J11" s="223"/>
      <c r="K11" s="223"/>
      <c r="L11" s="223"/>
      <c r="M11" s="223"/>
      <c r="N11" s="223"/>
      <c r="O11" s="223"/>
      <c r="P11" s="58"/>
      <c r="Q11" s="58"/>
      <c r="R11" s="58"/>
      <c r="S11" s="58"/>
    </row>
    <row r="12" spans="1:19" ht="14.25" customHeight="1" x14ac:dyDescent="0.3">
      <c r="A12" s="223"/>
      <c r="B12" s="223"/>
      <c r="C12" s="223"/>
      <c r="D12" s="223"/>
      <c r="E12" s="223"/>
      <c r="F12" s="223"/>
      <c r="G12" s="223"/>
      <c r="H12" s="223"/>
      <c r="I12" s="223"/>
      <c r="J12" s="223"/>
      <c r="K12" s="223"/>
      <c r="L12" s="223"/>
      <c r="M12" s="223"/>
      <c r="N12" s="223"/>
      <c r="O12" s="223"/>
      <c r="P12" s="58"/>
      <c r="Q12" s="58"/>
      <c r="R12" s="58"/>
      <c r="S12" s="58"/>
    </row>
    <row r="13" spans="1:19" x14ac:dyDescent="0.3">
      <c r="A13" s="223" t="s">
        <v>136</v>
      </c>
      <c r="B13" s="223"/>
      <c r="C13" s="223"/>
      <c r="D13" s="223"/>
      <c r="E13" s="223"/>
      <c r="F13" s="223"/>
      <c r="G13" s="223"/>
      <c r="H13" s="223"/>
      <c r="I13" s="223"/>
      <c r="J13" s="223"/>
      <c r="K13" s="223"/>
      <c r="L13" s="223"/>
      <c r="M13" s="223"/>
      <c r="N13" s="223"/>
      <c r="O13" s="223"/>
      <c r="P13" s="59"/>
      <c r="Q13" s="59"/>
      <c r="R13" s="59"/>
      <c r="S13" s="59"/>
    </row>
    <row r="14" spans="1:19" x14ac:dyDescent="0.3">
      <c r="A14" s="223"/>
      <c r="B14" s="223"/>
      <c r="C14" s="223"/>
      <c r="D14" s="223"/>
      <c r="E14" s="223"/>
      <c r="F14" s="223"/>
      <c r="G14" s="223"/>
      <c r="H14" s="223"/>
      <c r="I14" s="223"/>
      <c r="J14" s="223"/>
      <c r="K14" s="223"/>
      <c r="L14" s="223"/>
      <c r="M14" s="223"/>
      <c r="N14" s="223"/>
      <c r="O14" s="223"/>
      <c r="P14" s="59"/>
      <c r="Q14" s="59"/>
      <c r="R14" s="59"/>
      <c r="S14" s="59"/>
    </row>
    <row r="15" spans="1:19" x14ac:dyDescent="0.3">
      <c r="A15" s="104"/>
      <c r="B15" s="104"/>
      <c r="C15" s="104"/>
      <c r="D15" s="104"/>
      <c r="E15" s="104"/>
      <c r="F15" s="104"/>
      <c r="G15" s="104"/>
      <c r="H15" s="104"/>
      <c r="I15" s="104"/>
      <c r="J15" s="104"/>
      <c r="K15" s="104"/>
      <c r="L15" s="104"/>
      <c r="M15" s="104"/>
      <c r="N15" s="104"/>
      <c r="O15" s="104"/>
    </row>
    <row r="16" spans="1:19" x14ac:dyDescent="0.3">
      <c r="A16" s="104"/>
      <c r="B16" s="104"/>
      <c r="C16" s="104"/>
      <c r="D16" s="104"/>
      <c r="E16" s="104"/>
      <c r="F16" s="104"/>
      <c r="G16" s="104"/>
      <c r="H16" s="104"/>
      <c r="I16" s="104"/>
      <c r="J16" s="104"/>
      <c r="K16" s="104"/>
      <c r="L16" s="104"/>
      <c r="M16" s="104"/>
      <c r="N16" s="104"/>
      <c r="O16" s="104"/>
    </row>
    <row r="17" spans="1:15" x14ac:dyDescent="0.3">
      <c r="A17" s="104"/>
      <c r="B17" s="104"/>
      <c r="C17" s="104"/>
      <c r="D17" s="104"/>
      <c r="E17" s="104"/>
      <c r="F17" s="104"/>
      <c r="G17" s="104"/>
      <c r="H17" s="104"/>
      <c r="I17" s="221" t="s">
        <v>348</v>
      </c>
      <c r="J17" s="221"/>
      <c r="K17" s="221"/>
      <c r="L17" s="221"/>
      <c r="M17" s="221"/>
      <c r="N17" s="221"/>
      <c r="O17" s="221"/>
    </row>
    <row r="18" spans="1:15" ht="15" customHeight="1" x14ac:dyDescent="0.3">
      <c r="A18" s="104"/>
      <c r="B18" s="104"/>
      <c r="C18" s="104"/>
      <c r="D18" s="104"/>
      <c r="E18" s="104"/>
      <c r="F18" s="104"/>
      <c r="G18" s="104"/>
      <c r="H18" s="104"/>
      <c r="I18" s="104"/>
      <c r="J18" s="224" t="s">
        <v>137</v>
      </c>
      <c r="K18" s="224"/>
      <c r="L18" s="224"/>
      <c r="M18" s="224"/>
      <c r="N18" s="224"/>
      <c r="O18" s="104"/>
    </row>
    <row r="19" spans="1:15" x14ac:dyDescent="0.3">
      <c r="A19" s="104"/>
      <c r="B19" s="104"/>
      <c r="C19" s="104"/>
      <c r="D19" s="104"/>
      <c r="E19" s="104"/>
      <c r="F19" s="104"/>
      <c r="G19" s="104"/>
      <c r="H19" s="104"/>
      <c r="I19" s="104"/>
      <c r="J19" s="224" t="s">
        <v>93</v>
      </c>
      <c r="K19" s="224"/>
      <c r="L19" s="224"/>
      <c r="M19" s="224"/>
      <c r="N19" s="224"/>
      <c r="O19" s="104"/>
    </row>
    <row r="20" spans="1:15" x14ac:dyDescent="0.3">
      <c r="A20" s="104"/>
      <c r="B20" s="104"/>
      <c r="C20" s="104"/>
      <c r="D20" s="104"/>
      <c r="E20" s="104"/>
      <c r="F20" s="104"/>
      <c r="G20" s="104"/>
      <c r="H20" s="104"/>
      <c r="I20" s="104"/>
      <c r="J20" s="104"/>
      <c r="K20" s="104"/>
      <c r="L20" s="104"/>
      <c r="M20" s="104"/>
      <c r="N20" s="104"/>
      <c r="O20" s="104"/>
    </row>
    <row r="21" spans="1:15" x14ac:dyDescent="0.3">
      <c r="A21" s="104"/>
      <c r="B21" s="104"/>
      <c r="C21" s="104"/>
      <c r="D21" s="104"/>
      <c r="E21" s="104"/>
      <c r="F21" s="104"/>
      <c r="G21" s="104"/>
      <c r="H21" s="104"/>
      <c r="I21" s="104"/>
      <c r="J21" s="104"/>
      <c r="K21" s="104"/>
      <c r="L21" s="104"/>
      <c r="M21" s="104"/>
      <c r="N21" s="104"/>
      <c r="O21" s="104"/>
    </row>
    <row r="22" spans="1:15" x14ac:dyDescent="0.3">
      <c r="A22" s="104"/>
      <c r="B22" s="104"/>
      <c r="C22" s="104"/>
      <c r="D22" s="104"/>
      <c r="E22" s="104"/>
      <c r="F22" s="104"/>
      <c r="G22" s="104"/>
      <c r="H22" s="104"/>
      <c r="I22" s="104"/>
      <c r="J22" s="104"/>
      <c r="K22" s="104"/>
      <c r="L22" s="104"/>
      <c r="M22" s="104"/>
      <c r="N22" s="104"/>
      <c r="O22" s="104"/>
    </row>
    <row r="23" spans="1:15" x14ac:dyDescent="0.3">
      <c r="A23" s="104"/>
      <c r="B23" s="104"/>
      <c r="C23" s="104"/>
      <c r="D23" s="104"/>
      <c r="E23" s="104"/>
      <c r="F23" s="104"/>
      <c r="G23" s="104"/>
      <c r="H23" s="104"/>
      <c r="I23" s="104"/>
      <c r="J23" s="104"/>
      <c r="K23" s="104"/>
      <c r="L23" s="104"/>
      <c r="M23" s="104"/>
      <c r="N23" s="104"/>
      <c r="O23" s="104"/>
    </row>
    <row r="24" spans="1:15" x14ac:dyDescent="0.3">
      <c r="A24" s="104"/>
      <c r="B24" s="104"/>
      <c r="C24" s="104"/>
      <c r="D24" s="104"/>
      <c r="E24" s="104"/>
      <c r="F24" s="104"/>
      <c r="G24" s="104"/>
      <c r="H24" s="104"/>
      <c r="I24" s="106" t="s">
        <v>138</v>
      </c>
      <c r="J24" s="222" t="s">
        <v>342</v>
      </c>
      <c r="K24" s="222"/>
      <c r="L24" s="222"/>
      <c r="M24" s="222"/>
      <c r="N24" s="222"/>
      <c r="O24" s="104" t="s">
        <v>139</v>
      </c>
    </row>
    <row r="25" spans="1:15" x14ac:dyDescent="0.3">
      <c r="A25" s="104"/>
      <c r="B25" s="104"/>
      <c r="C25" s="104"/>
      <c r="D25" s="104"/>
      <c r="E25" s="104"/>
      <c r="F25" s="104"/>
      <c r="G25" s="104"/>
      <c r="H25" s="104"/>
      <c r="I25" s="104"/>
      <c r="J25" s="104"/>
      <c r="K25" s="104"/>
      <c r="L25" s="104"/>
      <c r="M25" s="104"/>
      <c r="N25" s="104"/>
      <c r="O25" s="104"/>
    </row>
    <row r="26" spans="1:15" x14ac:dyDescent="0.3">
      <c r="A26" s="104"/>
      <c r="B26" s="104"/>
      <c r="C26" s="104"/>
      <c r="D26" s="104"/>
      <c r="E26" s="104"/>
      <c r="F26" s="104"/>
      <c r="G26" s="104"/>
      <c r="H26" s="104"/>
      <c r="I26" s="104"/>
      <c r="J26" s="104"/>
      <c r="K26" s="104"/>
      <c r="L26" s="104"/>
      <c r="M26" s="104"/>
      <c r="N26" s="104"/>
      <c r="O26" s="104"/>
    </row>
    <row r="27" spans="1:15" x14ac:dyDescent="0.3">
      <c r="A27" s="222" t="s">
        <v>140</v>
      </c>
      <c r="B27" s="222"/>
      <c r="C27" s="222"/>
      <c r="D27" s="222"/>
      <c r="E27" s="222"/>
      <c r="F27" s="104"/>
      <c r="G27" s="104"/>
      <c r="H27" s="104"/>
      <c r="I27" s="104"/>
      <c r="J27" s="104"/>
      <c r="K27" s="104"/>
      <c r="L27" s="104"/>
      <c r="M27" s="104"/>
      <c r="N27" s="104"/>
      <c r="O27" s="104"/>
    </row>
    <row r="28" spans="1:15" x14ac:dyDescent="0.3">
      <c r="A28" s="104"/>
      <c r="B28" s="104"/>
      <c r="C28" s="107" t="s">
        <v>268</v>
      </c>
      <c r="D28" s="104"/>
      <c r="E28" s="104"/>
      <c r="F28" s="104"/>
      <c r="G28" s="104"/>
      <c r="H28" s="104"/>
      <c r="I28" s="104"/>
      <c r="J28" s="104"/>
      <c r="K28" s="104"/>
      <c r="L28" s="104"/>
      <c r="M28" s="104"/>
      <c r="N28" s="104"/>
      <c r="O28" s="104"/>
    </row>
    <row r="29" spans="1:15" x14ac:dyDescent="0.3">
      <c r="A29" s="104"/>
      <c r="B29" s="104"/>
      <c r="C29" s="104"/>
      <c r="D29" s="104"/>
      <c r="E29" s="104"/>
      <c r="F29" s="104"/>
      <c r="G29" s="104"/>
      <c r="H29" s="104"/>
      <c r="I29" s="104"/>
      <c r="J29" s="104"/>
      <c r="K29" s="104"/>
      <c r="L29" s="104"/>
      <c r="M29" s="104"/>
      <c r="N29" s="104"/>
      <c r="O29" s="104"/>
    </row>
    <row r="30" spans="1:15" x14ac:dyDescent="0.3">
      <c r="A30" s="104"/>
      <c r="B30" s="104"/>
      <c r="C30" s="104"/>
      <c r="D30" s="104"/>
      <c r="E30" s="104"/>
      <c r="F30" s="104"/>
      <c r="G30" s="104"/>
      <c r="H30" s="104"/>
      <c r="I30" s="104"/>
      <c r="J30" s="104"/>
      <c r="K30" s="104"/>
      <c r="L30" s="104"/>
      <c r="M30" s="104"/>
      <c r="N30" s="104"/>
      <c r="O30" s="104"/>
    </row>
    <row r="31" spans="1:15" x14ac:dyDescent="0.3">
      <c r="A31" s="104"/>
      <c r="B31" s="104"/>
      <c r="C31" s="104"/>
      <c r="D31" s="104"/>
      <c r="E31" s="104"/>
      <c r="F31" s="104"/>
      <c r="G31" s="104"/>
      <c r="H31" s="104"/>
      <c r="I31" s="104"/>
      <c r="J31" s="104"/>
      <c r="K31" s="104"/>
      <c r="L31" s="104"/>
      <c r="M31" s="104"/>
      <c r="N31" s="104"/>
      <c r="O31" s="104"/>
    </row>
    <row r="32" spans="1:15" x14ac:dyDescent="0.3">
      <c r="A32" s="104"/>
      <c r="B32" s="104"/>
      <c r="C32" s="104"/>
      <c r="D32" s="104"/>
      <c r="E32" s="104"/>
      <c r="F32" s="104"/>
      <c r="G32" s="104"/>
      <c r="H32" s="104"/>
      <c r="I32" s="104"/>
      <c r="J32" s="104"/>
      <c r="K32" s="104"/>
      <c r="L32" s="104"/>
      <c r="M32" s="104"/>
      <c r="N32" s="104"/>
      <c r="O32" s="104"/>
    </row>
    <row r="33" spans="1:15" x14ac:dyDescent="0.3">
      <c r="A33" s="104"/>
      <c r="B33" s="104"/>
      <c r="C33" s="107" t="s">
        <v>269</v>
      </c>
      <c r="D33" s="104"/>
      <c r="E33" s="104"/>
      <c r="F33" s="104"/>
      <c r="G33" s="104"/>
      <c r="H33" s="104"/>
      <c r="I33" s="104"/>
      <c r="J33" s="104"/>
      <c r="K33" s="104"/>
      <c r="L33" s="104"/>
      <c r="M33" s="104"/>
      <c r="N33" s="104"/>
      <c r="O33" s="104"/>
    </row>
    <row r="34" spans="1:15" x14ac:dyDescent="0.3">
      <c r="A34" s="104"/>
      <c r="B34" s="104"/>
      <c r="C34" s="105" t="str">
        <f>'Daftar Pengalaman Kerja'!G81</f>
        <v>Direktur</v>
      </c>
      <c r="D34" s="104"/>
      <c r="E34" s="104"/>
      <c r="F34" s="104"/>
      <c r="G34" s="104"/>
      <c r="H34" s="104"/>
      <c r="I34" s="104"/>
      <c r="J34" s="104"/>
      <c r="K34" s="104"/>
      <c r="L34" s="104"/>
      <c r="M34" s="104"/>
      <c r="N34" s="104"/>
      <c r="O34" s="104"/>
    </row>
    <row r="35" spans="1:15" x14ac:dyDescent="0.3">
      <c r="A35" s="104"/>
      <c r="B35" s="104"/>
      <c r="C35" s="104"/>
      <c r="D35" s="104"/>
      <c r="E35" s="104"/>
      <c r="F35" s="104"/>
      <c r="G35" s="104"/>
      <c r="H35" s="104"/>
      <c r="I35" s="104"/>
      <c r="J35" s="104"/>
      <c r="K35" s="104"/>
      <c r="L35" s="104"/>
      <c r="M35" s="104"/>
      <c r="N35" s="104"/>
      <c r="O35" s="104"/>
    </row>
    <row r="36" spans="1:15" x14ac:dyDescent="0.3">
      <c r="A36" s="219" t="s">
        <v>131</v>
      </c>
      <c r="B36" s="219"/>
      <c r="C36" s="219"/>
      <c r="D36" s="219"/>
      <c r="E36" s="219"/>
      <c r="F36" s="219"/>
      <c r="G36" s="219"/>
      <c r="H36" s="219"/>
      <c r="I36" s="219"/>
      <c r="J36" s="219"/>
      <c r="K36" s="219"/>
      <c r="L36" s="219"/>
      <c r="M36" s="219"/>
      <c r="N36" s="219"/>
      <c r="O36" s="219"/>
    </row>
    <row r="38" spans="1:15" x14ac:dyDescent="0.3">
      <c r="A38" t="s">
        <v>132</v>
      </c>
    </row>
    <row r="39" spans="1:15" x14ac:dyDescent="0.3">
      <c r="A39" t="s">
        <v>133</v>
      </c>
      <c r="C39" s="57" t="s">
        <v>35</v>
      </c>
      <c r="D39" t="s">
        <v>343</v>
      </c>
    </row>
    <row r="40" spans="1:15" x14ac:dyDescent="0.3">
      <c r="A40" t="s">
        <v>134</v>
      </c>
      <c r="C40" s="57" t="s">
        <v>35</v>
      </c>
      <c r="D40" s="104" t="s">
        <v>344</v>
      </c>
    </row>
    <row r="41" spans="1:15" x14ac:dyDescent="0.3">
      <c r="D41" t="s">
        <v>345</v>
      </c>
    </row>
    <row r="42" spans="1:15" ht="15" customHeight="1" x14ac:dyDescent="0.3">
      <c r="A42" s="223" t="s">
        <v>341</v>
      </c>
      <c r="B42" s="223"/>
      <c r="C42" s="223"/>
      <c r="D42" s="223"/>
      <c r="E42" s="223"/>
      <c r="F42" s="223"/>
      <c r="G42" s="223"/>
      <c r="H42" s="223"/>
      <c r="I42" s="223"/>
      <c r="J42" s="223"/>
      <c r="K42" s="223"/>
      <c r="L42" s="223"/>
      <c r="M42" s="223"/>
      <c r="N42" s="223"/>
      <c r="O42" s="223"/>
    </row>
    <row r="43" spans="1:15" x14ac:dyDescent="0.3">
      <c r="A43" s="223"/>
      <c r="B43" s="223"/>
      <c r="C43" s="223"/>
      <c r="D43" s="223"/>
      <c r="E43" s="223"/>
      <c r="F43" s="223"/>
      <c r="G43" s="223"/>
      <c r="H43" s="223"/>
      <c r="I43" s="223"/>
      <c r="J43" s="223"/>
      <c r="K43" s="223"/>
      <c r="L43" s="223"/>
      <c r="M43" s="223"/>
      <c r="N43" s="223"/>
      <c r="O43" s="223"/>
    </row>
    <row r="44" spans="1:15" x14ac:dyDescent="0.3">
      <c r="A44" s="223"/>
      <c r="B44" s="223"/>
      <c r="C44" s="223"/>
      <c r="D44" s="223"/>
      <c r="E44" s="223"/>
      <c r="F44" s="223"/>
      <c r="G44" s="223"/>
      <c r="H44" s="223"/>
      <c r="I44" s="223"/>
      <c r="J44" s="223"/>
      <c r="K44" s="223"/>
      <c r="L44" s="223"/>
      <c r="M44" s="223"/>
      <c r="N44" s="223"/>
      <c r="O44" s="223"/>
    </row>
    <row r="45" spans="1:15" x14ac:dyDescent="0.3">
      <c r="A45" s="223"/>
      <c r="B45" s="223"/>
      <c r="C45" s="223"/>
      <c r="D45" s="223"/>
      <c r="E45" s="223"/>
      <c r="F45" s="223"/>
      <c r="G45" s="223"/>
      <c r="H45" s="223"/>
      <c r="I45" s="223"/>
      <c r="J45" s="223"/>
      <c r="K45" s="223"/>
      <c r="L45" s="223"/>
      <c r="M45" s="223"/>
      <c r="N45" s="223"/>
      <c r="O45" s="223"/>
    </row>
    <row r="46" spans="1:15" x14ac:dyDescent="0.3">
      <c r="A46" s="223"/>
      <c r="B46" s="223"/>
      <c r="C46" s="223"/>
      <c r="D46" s="223"/>
      <c r="E46" s="223"/>
      <c r="F46" s="223"/>
      <c r="G46" s="223"/>
      <c r="H46" s="223"/>
      <c r="I46" s="223"/>
      <c r="J46" s="223"/>
      <c r="K46" s="223"/>
      <c r="L46" s="223"/>
      <c r="M46" s="223"/>
      <c r="N46" s="223"/>
      <c r="O46" s="223"/>
    </row>
    <row r="47" spans="1:15" x14ac:dyDescent="0.3">
      <c r="A47" s="223"/>
      <c r="B47" s="223"/>
      <c r="C47" s="223"/>
      <c r="D47" s="223"/>
      <c r="E47" s="223"/>
      <c r="F47" s="223"/>
      <c r="G47" s="223"/>
      <c r="H47" s="223"/>
      <c r="I47" s="223"/>
      <c r="J47" s="223"/>
      <c r="K47" s="223"/>
      <c r="L47" s="223"/>
      <c r="M47" s="223"/>
      <c r="N47" s="223"/>
      <c r="O47" s="223"/>
    </row>
    <row r="48" spans="1:15" x14ac:dyDescent="0.3">
      <c r="A48" s="58"/>
      <c r="B48" s="58"/>
      <c r="C48" s="58"/>
      <c r="D48" s="58"/>
      <c r="E48" s="58"/>
      <c r="F48" s="58"/>
      <c r="G48" s="58"/>
      <c r="H48" s="58"/>
      <c r="I48" s="58"/>
      <c r="J48" s="58"/>
      <c r="K48" s="58"/>
      <c r="L48" s="58"/>
      <c r="M48" s="58"/>
      <c r="N48" s="58"/>
      <c r="O48" s="58"/>
    </row>
    <row r="50" spans="1:15" ht="15" customHeight="1" x14ac:dyDescent="0.3">
      <c r="A50" s="220" t="s">
        <v>136</v>
      </c>
      <c r="B50" s="220"/>
      <c r="C50" s="220"/>
      <c r="D50" s="220"/>
      <c r="E50" s="220"/>
      <c r="F50" s="220"/>
      <c r="G50" s="220"/>
      <c r="H50" s="220"/>
      <c r="I50" s="220"/>
      <c r="J50" s="220"/>
      <c r="K50" s="220"/>
      <c r="L50" s="220"/>
      <c r="M50" s="220"/>
      <c r="N50" s="220"/>
      <c r="O50" s="220"/>
    </row>
    <row r="51" spans="1:15" x14ac:dyDescent="0.3">
      <c r="A51" s="220"/>
      <c r="B51" s="220"/>
      <c r="C51" s="220"/>
      <c r="D51" s="220"/>
      <c r="E51" s="220"/>
      <c r="F51" s="220"/>
      <c r="G51" s="220"/>
      <c r="H51" s="220"/>
      <c r="I51" s="220"/>
      <c r="J51" s="220"/>
      <c r="K51" s="220"/>
      <c r="L51" s="220"/>
      <c r="M51" s="220"/>
      <c r="N51" s="220"/>
      <c r="O51" s="220"/>
    </row>
    <row r="54" spans="1:15" x14ac:dyDescent="0.3">
      <c r="I54" s="221" t="s">
        <v>348</v>
      </c>
      <c r="J54" s="221"/>
      <c r="K54" s="221"/>
      <c r="L54" s="221"/>
      <c r="M54" s="221"/>
      <c r="N54" s="221"/>
      <c r="O54" s="221"/>
    </row>
    <row r="55" spans="1:15" ht="15" customHeight="1" x14ac:dyDescent="0.3">
      <c r="J55" s="218" t="s">
        <v>137</v>
      </c>
      <c r="K55" s="218"/>
      <c r="L55" s="218"/>
      <c r="M55" s="218"/>
      <c r="N55" s="218"/>
    </row>
    <row r="56" spans="1:15" ht="15" customHeight="1" x14ac:dyDescent="0.3">
      <c r="J56" s="218" t="s">
        <v>93</v>
      </c>
      <c r="K56" s="218"/>
      <c r="L56" s="218"/>
      <c r="M56" s="218"/>
      <c r="N56" s="218"/>
    </row>
    <row r="61" spans="1:15" x14ac:dyDescent="0.3">
      <c r="I61" s="62" t="s">
        <v>138</v>
      </c>
      <c r="J61" s="219" t="str">
        <f>D39</f>
        <v>Deddy Sanjaya Rioeh,ST</v>
      </c>
      <c r="K61" s="219"/>
      <c r="L61" s="219"/>
      <c r="M61" s="219"/>
      <c r="N61" s="219"/>
      <c r="O61" t="s">
        <v>139</v>
      </c>
    </row>
    <row r="64" spans="1:15" x14ac:dyDescent="0.3">
      <c r="A64" s="219" t="s">
        <v>140</v>
      </c>
      <c r="B64" s="219"/>
      <c r="C64" s="219"/>
      <c r="D64" s="219"/>
      <c r="E64" s="219"/>
    </row>
    <row r="65" spans="1:15" x14ac:dyDescent="0.3">
      <c r="C65" s="63" t="s">
        <v>268</v>
      </c>
    </row>
    <row r="70" spans="1:15" x14ac:dyDescent="0.3">
      <c r="C70" s="63" t="s">
        <v>269</v>
      </c>
    </row>
    <row r="71" spans="1:15" x14ac:dyDescent="0.3">
      <c r="C71" s="57" t="str">
        <f>C34</f>
        <v>Direktur</v>
      </c>
    </row>
    <row r="73" spans="1:15" hidden="1" x14ac:dyDescent="0.3">
      <c r="A73" s="219" t="s">
        <v>131</v>
      </c>
      <c r="B73" s="219"/>
      <c r="C73" s="219"/>
      <c r="D73" s="219"/>
      <c r="E73" s="219"/>
      <c r="F73" s="219"/>
      <c r="G73" s="219"/>
      <c r="H73" s="219"/>
      <c r="I73" s="219"/>
      <c r="J73" s="219"/>
      <c r="K73" s="219"/>
      <c r="L73" s="219"/>
      <c r="M73" s="219"/>
      <c r="N73" s="219"/>
      <c r="O73" s="219"/>
    </row>
    <row r="74" spans="1:15" hidden="1" x14ac:dyDescent="0.3"/>
    <row r="75" spans="1:15" hidden="1" x14ac:dyDescent="0.3">
      <c r="A75" t="s">
        <v>132</v>
      </c>
    </row>
    <row r="76" spans="1:15" hidden="1" x14ac:dyDescent="0.3">
      <c r="A76" t="s">
        <v>133</v>
      </c>
      <c r="C76" s="57" t="s">
        <v>35</v>
      </c>
    </row>
    <row r="77" spans="1:15" hidden="1" x14ac:dyDescent="0.3">
      <c r="A77" t="s">
        <v>134</v>
      </c>
      <c r="C77" s="57" t="s">
        <v>35</v>
      </c>
    </row>
    <row r="78" spans="1:15" hidden="1" x14ac:dyDescent="0.3"/>
    <row r="79" spans="1:15" hidden="1" x14ac:dyDescent="0.3">
      <c r="A79" s="220" t="s">
        <v>135</v>
      </c>
      <c r="B79" s="220"/>
      <c r="C79" s="220"/>
      <c r="D79" s="220"/>
      <c r="E79" s="220"/>
      <c r="F79" s="220"/>
      <c r="G79" s="220"/>
      <c r="H79" s="220"/>
      <c r="I79" s="220"/>
      <c r="J79" s="220"/>
      <c r="K79" s="220"/>
      <c r="L79" s="220"/>
      <c r="M79" s="220"/>
      <c r="N79" s="220"/>
      <c r="O79" s="220"/>
    </row>
    <row r="80" spans="1:15" hidden="1" x14ac:dyDescent="0.3">
      <c r="A80" s="220"/>
      <c r="B80" s="220"/>
      <c r="C80" s="220"/>
      <c r="D80" s="220"/>
      <c r="E80" s="220"/>
      <c r="F80" s="220"/>
      <c r="G80" s="220"/>
      <c r="H80" s="220"/>
      <c r="I80" s="220"/>
      <c r="J80" s="220"/>
      <c r="K80" s="220"/>
      <c r="L80" s="220"/>
      <c r="M80" s="220"/>
      <c r="N80" s="220"/>
      <c r="O80" s="220"/>
    </row>
    <row r="81" spans="1:15" hidden="1" x14ac:dyDescent="0.3">
      <c r="A81" s="220"/>
      <c r="B81" s="220"/>
      <c r="C81" s="220"/>
      <c r="D81" s="220"/>
      <c r="E81" s="220"/>
      <c r="F81" s="220"/>
      <c r="G81" s="220"/>
      <c r="H81" s="220"/>
      <c r="I81" s="220"/>
      <c r="J81" s="220"/>
      <c r="K81" s="220"/>
      <c r="L81" s="220"/>
      <c r="M81" s="220"/>
      <c r="N81" s="220"/>
      <c r="O81" s="220"/>
    </row>
    <row r="82" spans="1:15" hidden="1" x14ac:dyDescent="0.3">
      <c r="A82" s="220"/>
      <c r="B82" s="220"/>
      <c r="C82" s="220"/>
      <c r="D82" s="220"/>
      <c r="E82" s="220"/>
      <c r="F82" s="220"/>
      <c r="G82" s="220"/>
      <c r="H82" s="220"/>
      <c r="I82" s="220"/>
      <c r="J82" s="220"/>
      <c r="K82" s="220"/>
      <c r="L82" s="220"/>
      <c r="M82" s="220"/>
      <c r="N82" s="220"/>
      <c r="O82" s="220"/>
    </row>
    <row r="83" spans="1:15" hidden="1" x14ac:dyDescent="0.3">
      <c r="A83" s="220"/>
      <c r="B83" s="220"/>
      <c r="C83" s="220"/>
      <c r="D83" s="220"/>
      <c r="E83" s="220"/>
      <c r="F83" s="220"/>
      <c r="G83" s="220"/>
      <c r="H83" s="220"/>
      <c r="I83" s="220"/>
      <c r="J83" s="220"/>
      <c r="K83" s="220"/>
      <c r="L83" s="220"/>
      <c r="M83" s="220"/>
      <c r="N83" s="220"/>
      <c r="O83" s="220"/>
    </row>
    <row r="84" spans="1:15" hidden="1" x14ac:dyDescent="0.3">
      <c r="A84" s="220"/>
      <c r="B84" s="220"/>
      <c r="C84" s="220"/>
      <c r="D84" s="220"/>
      <c r="E84" s="220"/>
      <c r="F84" s="220"/>
      <c r="G84" s="220"/>
      <c r="H84" s="220"/>
      <c r="I84" s="220"/>
      <c r="J84" s="220"/>
      <c r="K84" s="220"/>
      <c r="L84" s="220"/>
      <c r="M84" s="220"/>
      <c r="N84" s="220"/>
      <c r="O84" s="220"/>
    </row>
    <row r="85" spans="1:15" hidden="1" x14ac:dyDescent="0.3">
      <c r="A85" s="58"/>
      <c r="B85" s="58"/>
      <c r="C85" s="58"/>
      <c r="D85" s="58"/>
      <c r="E85" s="58"/>
      <c r="F85" s="58"/>
      <c r="G85" s="58"/>
      <c r="H85" s="58"/>
      <c r="I85" s="58"/>
      <c r="J85" s="58"/>
      <c r="K85" s="58"/>
      <c r="L85" s="58"/>
      <c r="M85" s="58"/>
      <c r="N85" s="58"/>
      <c r="O85" s="58"/>
    </row>
    <row r="86" spans="1:15" hidden="1" x14ac:dyDescent="0.3"/>
    <row r="87" spans="1:15" hidden="1" x14ac:dyDescent="0.3">
      <c r="A87" s="220" t="s">
        <v>136</v>
      </c>
      <c r="B87" s="220"/>
      <c r="C87" s="220"/>
      <c r="D87" s="220"/>
      <c r="E87" s="220"/>
      <c r="F87" s="220"/>
      <c r="G87" s="220"/>
      <c r="H87" s="220"/>
      <c r="I87" s="220"/>
      <c r="J87" s="220"/>
      <c r="K87" s="220"/>
      <c r="L87" s="220"/>
      <c r="M87" s="220"/>
      <c r="N87" s="220"/>
      <c r="O87" s="220"/>
    </row>
    <row r="88" spans="1:15" hidden="1" x14ac:dyDescent="0.3">
      <c r="A88" s="220"/>
      <c r="B88" s="220"/>
      <c r="C88" s="220"/>
      <c r="D88" s="220"/>
      <c r="E88" s="220"/>
      <c r="F88" s="220"/>
      <c r="G88" s="220"/>
      <c r="H88" s="220"/>
      <c r="I88" s="220"/>
      <c r="J88" s="220"/>
      <c r="K88" s="220"/>
      <c r="L88" s="220"/>
      <c r="M88" s="220"/>
      <c r="N88" s="220"/>
      <c r="O88" s="220"/>
    </row>
    <row r="89" spans="1:15" hidden="1" x14ac:dyDescent="0.3"/>
    <row r="90" spans="1:15" hidden="1" x14ac:dyDescent="0.3"/>
    <row r="91" spans="1:15" hidden="1" x14ac:dyDescent="0.3">
      <c r="I91" s="217" t="s">
        <v>8</v>
      </c>
      <c r="J91" s="217"/>
      <c r="K91" s="217"/>
      <c r="L91" s="217"/>
      <c r="M91" s="217"/>
      <c r="N91" s="217"/>
      <c r="O91" s="217"/>
    </row>
    <row r="92" spans="1:15" hidden="1" x14ac:dyDescent="0.3">
      <c r="J92" s="218" t="s">
        <v>137</v>
      </c>
      <c r="K92" s="218"/>
      <c r="L92" s="218"/>
      <c r="M92" s="218"/>
      <c r="N92" s="218"/>
    </row>
    <row r="93" spans="1:15" hidden="1" x14ac:dyDescent="0.3">
      <c r="J93" s="218" t="s">
        <v>93</v>
      </c>
      <c r="K93" s="218"/>
      <c r="L93" s="218"/>
      <c r="M93" s="218"/>
      <c r="N93" s="218"/>
    </row>
    <row r="94" spans="1:15" hidden="1" x14ac:dyDescent="0.3"/>
    <row r="95" spans="1:15" hidden="1" x14ac:dyDescent="0.3"/>
    <row r="96" spans="1:15" hidden="1" x14ac:dyDescent="0.3"/>
    <row r="97" spans="1:15" hidden="1" x14ac:dyDescent="0.3"/>
    <row r="98" spans="1:15" hidden="1" x14ac:dyDescent="0.3">
      <c r="I98" s="62" t="s">
        <v>138</v>
      </c>
      <c r="J98" s="219"/>
      <c r="K98" s="219"/>
      <c r="L98" s="219"/>
      <c r="M98" s="219"/>
      <c r="N98" s="219"/>
      <c r="O98" t="s">
        <v>139</v>
      </c>
    </row>
    <row r="99" spans="1:15" hidden="1" x14ac:dyDescent="0.3"/>
    <row r="100" spans="1:15" hidden="1" x14ac:dyDescent="0.3"/>
    <row r="101" spans="1:15" hidden="1" x14ac:dyDescent="0.3">
      <c r="A101" s="219" t="s">
        <v>140</v>
      </c>
      <c r="B101" s="219"/>
      <c r="C101" s="219"/>
      <c r="D101" s="219"/>
      <c r="E101" s="219"/>
    </row>
    <row r="102" spans="1:15" hidden="1" x14ac:dyDescent="0.3">
      <c r="C102" s="63" t="str">
        <f>C65</f>
        <v>CV. TOHA PRATAMA</v>
      </c>
    </row>
    <row r="103" spans="1:15" hidden="1" x14ac:dyDescent="0.3">
      <c r="C103" s="63"/>
    </row>
    <row r="104" spans="1:15" hidden="1" x14ac:dyDescent="0.3">
      <c r="C104" s="63"/>
    </row>
    <row r="105" spans="1:15" hidden="1" x14ac:dyDescent="0.3">
      <c r="C105" s="63"/>
    </row>
    <row r="106" spans="1:15" hidden="1" x14ac:dyDescent="0.3">
      <c r="C106" s="63"/>
    </row>
    <row r="107" spans="1:15" hidden="1" x14ac:dyDescent="0.3">
      <c r="C107" s="63" t="str">
        <f t="shared" ref="C107:C108" si="0">C70</f>
        <v>ANDI NUR FAISAL, ST</v>
      </c>
    </row>
    <row r="108" spans="1:15" hidden="1" x14ac:dyDescent="0.3">
      <c r="C108" s="63" t="str">
        <f t="shared" si="0"/>
        <v>Direktur</v>
      </c>
    </row>
    <row r="109" spans="1:15" hidden="1" x14ac:dyDescent="0.3"/>
    <row r="110" spans="1:15" hidden="1" x14ac:dyDescent="0.3">
      <c r="A110" s="219" t="s">
        <v>131</v>
      </c>
      <c r="B110" s="219"/>
      <c r="C110" s="219"/>
      <c r="D110" s="219"/>
      <c r="E110" s="219"/>
      <c r="F110" s="219"/>
      <c r="G110" s="219"/>
      <c r="H110" s="219"/>
      <c r="I110" s="219"/>
      <c r="J110" s="219"/>
      <c r="K110" s="219"/>
      <c r="L110" s="219"/>
      <c r="M110" s="219"/>
      <c r="N110" s="219"/>
      <c r="O110" s="219"/>
    </row>
    <row r="111" spans="1:15" hidden="1" x14ac:dyDescent="0.3"/>
    <row r="112" spans="1:15" hidden="1" x14ac:dyDescent="0.3">
      <c r="A112" t="s">
        <v>132</v>
      </c>
    </row>
    <row r="113" spans="1:15" hidden="1" x14ac:dyDescent="0.3">
      <c r="A113" t="s">
        <v>133</v>
      </c>
      <c r="C113" s="57" t="s">
        <v>35</v>
      </c>
    </row>
    <row r="114" spans="1:15" hidden="1" x14ac:dyDescent="0.3">
      <c r="A114" t="s">
        <v>134</v>
      </c>
      <c r="C114" s="57" t="s">
        <v>35</v>
      </c>
    </row>
    <row r="115" spans="1:15" hidden="1" x14ac:dyDescent="0.3"/>
    <row r="116" spans="1:15" hidden="1" x14ac:dyDescent="0.3">
      <c r="A116" s="220" t="s">
        <v>135</v>
      </c>
      <c r="B116" s="220"/>
      <c r="C116" s="220"/>
      <c r="D116" s="220"/>
      <c r="E116" s="220"/>
      <c r="F116" s="220"/>
      <c r="G116" s="220"/>
      <c r="H116" s="220"/>
      <c r="I116" s="220"/>
      <c r="J116" s="220"/>
      <c r="K116" s="220"/>
      <c r="L116" s="220"/>
      <c r="M116" s="220"/>
      <c r="N116" s="220"/>
      <c r="O116" s="220"/>
    </row>
    <row r="117" spans="1:15" hidden="1" x14ac:dyDescent="0.3">
      <c r="A117" s="220"/>
      <c r="B117" s="220"/>
      <c r="C117" s="220"/>
      <c r="D117" s="220"/>
      <c r="E117" s="220"/>
      <c r="F117" s="220"/>
      <c r="G117" s="220"/>
      <c r="H117" s="220"/>
      <c r="I117" s="220"/>
      <c r="J117" s="220"/>
      <c r="K117" s="220"/>
      <c r="L117" s="220"/>
      <c r="M117" s="220"/>
      <c r="N117" s="220"/>
      <c r="O117" s="220"/>
    </row>
    <row r="118" spans="1:15" hidden="1" x14ac:dyDescent="0.3">
      <c r="A118" s="220"/>
      <c r="B118" s="220"/>
      <c r="C118" s="220"/>
      <c r="D118" s="220"/>
      <c r="E118" s="220"/>
      <c r="F118" s="220"/>
      <c r="G118" s="220"/>
      <c r="H118" s="220"/>
      <c r="I118" s="220"/>
      <c r="J118" s="220"/>
      <c r="K118" s="220"/>
      <c r="L118" s="220"/>
      <c r="M118" s="220"/>
      <c r="N118" s="220"/>
      <c r="O118" s="220"/>
    </row>
    <row r="119" spans="1:15" hidden="1" x14ac:dyDescent="0.3">
      <c r="A119" s="220"/>
      <c r="B119" s="220"/>
      <c r="C119" s="220"/>
      <c r="D119" s="220"/>
      <c r="E119" s="220"/>
      <c r="F119" s="220"/>
      <c r="G119" s="220"/>
      <c r="H119" s="220"/>
      <c r="I119" s="220"/>
      <c r="J119" s="220"/>
      <c r="K119" s="220"/>
      <c r="L119" s="220"/>
      <c r="M119" s="220"/>
      <c r="N119" s="220"/>
      <c r="O119" s="220"/>
    </row>
    <row r="120" spans="1:15" hidden="1" x14ac:dyDescent="0.3">
      <c r="A120" s="220"/>
      <c r="B120" s="220"/>
      <c r="C120" s="220"/>
      <c r="D120" s="220"/>
      <c r="E120" s="220"/>
      <c r="F120" s="220"/>
      <c r="G120" s="220"/>
      <c r="H120" s="220"/>
      <c r="I120" s="220"/>
      <c r="J120" s="220"/>
      <c r="K120" s="220"/>
      <c r="L120" s="220"/>
      <c r="M120" s="220"/>
      <c r="N120" s="220"/>
      <c r="O120" s="220"/>
    </row>
    <row r="121" spans="1:15" hidden="1" x14ac:dyDescent="0.3">
      <c r="A121" s="220"/>
      <c r="B121" s="220"/>
      <c r="C121" s="220"/>
      <c r="D121" s="220"/>
      <c r="E121" s="220"/>
      <c r="F121" s="220"/>
      <c r="G121" s="220"/>
      <c r="H121" s="220"/>
      <c r="I121" s="220"/>
      <c r="J121" s="220"/>
      <c r="K121" s="220"/>
      <c r="L121" s="220"/>
      <c r="M121" s="220"/>
      <c r="N121" s="220"/>
      <c r="O121" s="220"/>
    </row>
    <row r="122" spans="1:15" hidden="1" x14ac:dyDescent="0.3">
      <c r="A122" s="58"/>
      <c r="B122" s="58"/>
      <c r="C122" s="58"/>
      <c r="D122" s="58"/>
      <c r="E122" s="58"/>
      <c r="F122" s="58"/>
      <c r="G122" s="58"/>
      <c r="H122" s="58"/>
      <c r="I122" s="58"/>
      <c r="J122" s="58"/>
      <c r="K122" s="58"/>
      <c r="L122" s="58"/>
      <c r="M122" s="58"/>
      <c r="N122" s="58"/>
      <c r="O122" s="58"/>
    </row>
    <row r="123" spans="1:15" hidden="1" x14ac:dyDescent="0.3"/>
    <row r="124" spans="1:15" hidden="1" x14ac:dyDescent="0.3">
      <c r="A124" s="220" t="s">
        <v>136</v>
      </c>
      <c r="B124" s="220"/>
      <c r="C124" s="220"/>
      <c r="D124" s="220"/>
      <c r="E124" s="220"/>
      <c r="F124" s="220"/>
      <c r="G124" s="220"/>
      <c r="H124" s="220"/>
      <c r="I124" s="220"/>
      <c r="J124" s="220"/>
      <c r="K124" s="220"/>
      <c r="L124" s="220"/>
      <c r="M124" s="220"/>
      <c r="N124" s="220"/>
      <c r="O124" s="220"/>
    </row>
    <row r="125" spans="1:15" hidden="1" x14ac:dyDescent="0.3">
      <c r="A125" s="220"/>
      <c r="B125" s="220"/>
      <c r="C125" s="220"/>
      <c r="D125" s="220"/>
      <c r="E125" s="220"/>
      <c r="F125" s="220"/>
      <c r="G125" s="220"/>
      <c r="H125" s="220"/>
      <c r="I125" s="220"/>
      <c r="J125" s="220"/>
      <c r="K125" s="220"/>
      <c r="L125" s="220"/>
      <c r="M125" s="220"/>
      <c r="N125" s="220"/>
      <c r="O125" s="220"/>
    </row>
    <row r="126" spans="1:15" hidden="1" x14ac:dyDescent="0.3"/>
    <row r="127" spans="1:15" hidden="1" x14ac:dyDescent="0.3"/>
    <row r="128" spans="1:15" hidden="1" x14ac:dyDescent="0.3">
      <c r="I128" s="217" t="s">
        <v>8</v>
      </c>
      <c r="J128" s="217"/>
      <c r="K128" s="217"/>
      <c r="L128" s="217"/>
      <c r="M128" s="217"/>
      <c r="N128" s="217"/>
      <c r="O128" s="217"/>
    </row>
    <row r="129" spans="1:15" hidden="1" x14ac:dyDescent="0.3">
      <c r="J129" s="218" t="s">
        <v>137</v>
      </c>
      <c r="K129" s="218"/>
      <c r="L129" s="218"/>
      <c r="M129" s="218"/>
      <c r="N129" s="218"/>
    </row>
    <row r="130" spans="1:15" hidden="1" x14ac:dyDescent="0.3">
      <c r="J130" s="218" t="s">
        <v>93</v>
      </c>
      <c r="K130" s="218"/>
      <c r="L130" s="218"/>
      <c r="M130" s="218"/>
      <c r="N130" s="218"/>
    </row>
    <row r="131" spans="1:15" hidden="1" x14ac:dyDescent="0.3"/>
    <row r="132" spans="1:15" hidden="1" x14ac:dyDescent="0.3"/>
    <row r="133" spans="1:15" hidden="1" x14ac:dyDescent="0.3"/>
    <row r="134" spans="1:15" hidden="1" x14ac:dyDescent="0.3"/>
    <row r="135" spans="1:15" hidden="1" x14ac:dyDescent="0.3">
      <c r="I135" s="62" t="s">
        <v>138</v>
      </c>
      <c r="J135" s="219"/>
      <c r="K135" s="219"/>
      <c r="L135" s="219"/>
      <c r="M135" s="219"/>
      <c r="N135" s="219"/>
      <c r="O135" t="s">
        <v>139</v>
      </c>
    </row>
    <row r="136" spans="1:15" hidden="1" x14ac:dyDescent="0.3"/>
    <row r="137" spans="1:15" hidden="1" x14ac:dyDescent="0.3"/>
    <row r="138" spans="1:15" hidden="1" x14ac:dyDescent="0.3">
      <c r="A138" s="219" t="s">
        <v>140</v>
      </c>
      <c r="B138" s="219"/>
      <c r="C138" s="219"/>
      <c r="D138" s="219"/>
      <c r="E138" s="219"/>
    </row>
    <row r="139" spans="1:15" hidden="1" x14ac:dyDescent="0.3">
      <c r="C139" s="63" t="str">
        <f>C102</f>
        <v>CV. TOHA PRATAMA</v>
      </c>
    </row>
    <row r="140" spans="1:15" hidden="1" x14ac:dyDescent="0.3">
      <c r="C140" s="63"/>
    </row>
    <row r="141" spans="1:15" hidden="1" x14ac:dyDescent="0.3">
      <c r="C141" s="63"/>
    </row>
    <row r="142" spans="1:15" hidden="1" x14ac:dyDescent="0.3">
      <c r="C142" s="63"/>
    </row>
    <row r="143" spans="1:15" hidden="1" x14ac:dyDescent="0.3">
      <c r="C143" s="63"/>
    </row>
    <row r="144" spans="1:15" hidden="1" x14ac:dyDescent="0.3">
      <c r="C144" s="63" t="str">
        <f t="shared" ref="C144:C145" si="1">C107</f>
        <v>ANDI NUR FAISAL, ST</v>
      </c>
    </row>
    <row r="145" spans="1:15" hidden="1" x14ac:dyDescent="0.3">
      <c r="C145" s="63" t="str">
        <f t="shared" si="1"/>
        <v>Direktur</v>
      </c>
    </row>
    <row r="146" spans="1:15" hidden="1" x14ac:dyDescent="0.3"/>
    <row r="147" spans="1:15" hidden="1" x14ac:dyDescent="0.3">
      <c r="A147" s="219" t="s">
        <v>131</v>
      </c>
      <c r="B147" s="219"/>
      <c r="C147" s="219"/>
      <c r="D147" s="219"/>
      <c r="E147" s="219"/>
      <c r="F147" s="219"/>
      <c r="G147" s="219"/>
      <c r="H147" s="219"/>
      <c r="I147" s="219"/>
      <c r="J147" s="219"/>
      <c r="K147" s="219"/>
      <c r="L147" s="219"/>
      <c r="M147" s="219"/>
      <c r="N147" s="219"/>
      <c r="O147" s="219"/>
    </row>
    <row r="148" spans="1:15" hidden="1" x14ac:dyDescent="0.3"/>
    <row r="149" spans="1:15" hidden="1" x14ac:dyDescent="0.3">
      <c r="A149" t="s">
        <v>132</v>
      </c>
    </row>
    <row r="150" spans="1:15" hidden="1" x14ac:dyDescent="0.3">
      <c r="A150" t="s">
        <v>133</v>
      </c>
      <c r="C150" s="57" t="s">
        <v>35</v>
      </c>
    </row>
    <row r="151" spans="1:15" hidden="1" x14ac:dyDescent="0.3">
      <c r="A151" t="s">
        <v>134</v>
      </c>
      <c r="C151" s="57" t="s">
        <v>35</v>
      </c>
    </row>
    <row r="152" spans="1:15" hidden="1" x14ac:dyDescent="0.3"/>
    <row r="153" spans="1:15" hidden="1" x14ac:dyDescent="0.3">
      <c r="A153" s="220" t="s">
        <v>135</v>
      </c>
      <c r="B153" s="220"/>
      <c r="C153" s="220"/>
      <c r="D153" s="220"/>
      <c r="E153" s="220"/>
      <c r="F153" s="220"/>
      <c r="G153" s="220"/>
      <c r="H153" s="220"/>
      <c r="I153" s="220"/>
      <c r="J153" s="220"/>
      <c r="K153" s="220"/>
      <c r="L153" s="220"/>
      <c r="M153" s="220"/>
      <c r="N153" s="220"/>
      <c r="O153" s="220"/>
    </row>
    <row r="154" spans="1:15" hidden="1" x14ac:dyDescent="0.3">
      <c r="A154" s="220"/>
      <c r="B154" s="220"/>
      <c r="C154" s="220"/>
      <c r="D154" s="220"/>
      <c r="E154" s="220"/>
      <c r="F154" s="220"/>
      <c r="G154" s="220"/>
      <c r="H154" s="220"/>
      <c r="I154" s="220"/>
      <c r="J154" s="220"/>
      <c r="K154" s="220"/>
      <c r="L154" s="220"/>
      <c r="M154" s="220"/>
      <c r="N154" s="220"/>
      <c r="O154" s="220"/>
    </row>
    <row r="155" spans="1:15" hidden="1" x14ac:dyDescent="0.3">
      <c r="A155" s="220"/>
      <c r="B155" s="220"/>
      <c r="C155" s="220"/>
      <c r="D155" s="220"/>
      <c r="E155" s="220"/>
      <c r="F155" s="220"/>
      <c r="G155" s="220"/>
      <c r="H155" s="220"/>
      <c r="I155" s="220"/>
      <c r="J155" s="220"/>
      <c r="K155" s="220"/>
      <c r="L155" s="220"/>
      <c r="M155" s="220"/>
      <c r="N155" s="220"/>
      <c r="O155" s="220"/>
    </row>
    <row r="156" spans="1:15" hidden="1" x14ac:dyDescent="0.3">
      <c r="A156" s="220"/>
      <c r="B156" s="220"/>
      <c r="C156" s="220"/>
      <c r="D156" s="220"/>
      <c r="E156" s="220"/>
      <c r="F156" s="220"/>
      <c r="G156" s="220"/>
      <c r="H156" s="220"/>
      <c r="I156" s="220"/>
      <c r="J156" s="220"/>
      <c r="K156" s="220"/>
      <c r="L156" s="220"/>
      <c r="M156" s="220"/>
      <c r="N156" s="220"/>
      <c r="O156" s="220"/>
    </row>
    <row r="157" spans="1:15" hidden="1" x14ac:dyDescent="0.3">
      <c r="A157" s="220"/>
      <c r="B157" s="220"/>
      <c r="C157" s="220"/>
      <c r="D157" s="220"/>
      <c r="E157" s="220"/>
      <c r="F157" s="220"/>
      <c r="G157" s="220"/>
      <c r="H157" s="220"/>
      <c r="I157" s="220"/>
      <c r="J157" s="220"/>
      <c r="K157" s="220"/>
      <c r="L157" s="220"/>
      <c r="M157" s="220"/>
      <c r="N157" s="220"/>
      <c r="O157" s="220"/>
    </row>
    <row r="158" spans="1:15" hidden="1" x14ac:dyDescent="0.3">
      <c r="A158" s="220"/>
      <c r="B158" s="220"/>
      <c r="C158" s="220"/>
      <c r="D158" s="220"/>
      <c r="E158" s="220"/>
      <c r="F158" s="220"/>
      <c r="G158" s="220"/>
      <c r="H158" s="220"/>
      <c r="I158" s="220"/>
      <c r="J158" s="220"/>
      <c r="K158" s="220"/>
      <c r="L158" s="220"/>
      <c r="M158" s="220"/>
      <c r="N158" s="220"/>
      <c r="O158" s="220"/>
    </row>
    <row r="159" spans="1:15" hidden="1" x14ac:dyDescent="0.3">
      <c r="A159" s="58"/>
      <c r="B159" s="58"/>
      <c r="C159" s="58"/>
      <c r="D159" s="58"/>
      <c r="E159" s="58"/>
      <c r="F159" s="58"/>
      <c r="G159" s="58"/>
      <c r="H159" s="58"/>
      <c r="I159" s="58"/>
      <c r="J159" s="58"/>
      <c r="K159" s="58"/>
      <c r="L159" s="58"/>
      <c r="M159" s="58"/>
      <c r="N159" s="58"/>
      <c r="O159" s="58"/>
    </row>
    <row r="160" spans="1:15" hidden="1" x14ac:dyDescent="0.3"/>
    <row r="161" spans="1:15" hidden="1" x14ac:dyDescent="0.3">
      <c r="A161" s="220" t="s">
        <v>136</v>
      </c>
      <c r="B161" s="220"/>
      <c r="C161" s="220"/>
      <c r="D161" s="220"/>
      <c r="E161" s="220"/>
      <c r="F161" s="220"/>
      <c r="G161" s="220"/>
      <c r="H161" s="220"/>
      <c r="I161" s="220"/>
      <c r="J161" s="220"/>
      <c r="K161" s="220"/>
      <c r="L161" s="220"/>
      <c r="M161" s="220"/>
      <c r="N161" s="220"/>
      <c r="O161" s="220"/>
    </row>
    <row r="162" spans="1:15" hidden="1" x14ac:dyDescent="0.3">
      <c r="A162" s="220"/>
      <c r="B162" s="220"/>
      <c r="C162" s="220"/>
      <c r="D162" s="220"/>
      <c r="E162" s="220"/>
      <c r="F162" s="220"/>
      <c r="G162" s="220"/>
      <c r="H162" s="220"/>
      <c r="I162" s="220"/>
      <c r="J162" s="220"/>
      <c r="K162" s="220"/>
      <c r="L162" s="220"/>
      <c r="M162" s="220"/>
      <c r="N162" s="220"/>
      <c r="O162" s="220"/>
    </row>
    <row r="163" spans="1:15" hidden="1" x14ac:dyDescent="0.3"/>
    <row r="164" spans="1:15" hidden="1" x14ac:dyDescent="0.3"/>
    <row r="165" spans="1:15" hidden="1" x14ac:dyDescent="0.3">
      <c r="I165" s="217" t="s">
        <v>8</v>
      </c>
      <c r="J165" s="217"/>
      <c r="K165" s="217"/>
      <c r="L165" s="217"/>
      <c r="M165" s="217"/>
      <c r="N165" s="217"/>
      <c r="O165" s="217"/>
    </row>
    <row r="166" spans="1:15" hidden="1" x14ac:dyDescent="0.3">
      <c r="J166" s="218" t="s">
        <v>137</v>
      </c>
      <c r="K166" s="218"/>
      <c r="L166" s="218"/>
      <c r="M166" s="218"/>
      <c r="N166" s="218"/>
    </row>
    <row r="167" spans="1:15" hidden="1" x14ac:dyDescent="0.3">
      <c r="J167" s="218" t="s">
        <v>93</v>
      </c>
      <c r="K167" s="218"/>
      <c r="L167" s="218"/>
      <c r="M167" s="218"/>
      <c r="N167" s="218"/>
    </row>
    <row r="168" spans="1:15" hidden="1" x14ac:dyDescent="0.3"/>
    <row r="169" spans="1:15" hidden="1" x14ac:dyDescent="0.3"/>
    <row r="170" spans="1:15" hidden="1" x14ac:dyDescent="0.3"/>
    <row r="171" spans="1:15" hidden="1" x14ac:dyDescent="0.3"/>
    <row r="172" spans="1:15" hidden="1" x14ac:dyDescent="0.3">
      <c r="I172" s="62" t="s">
        <v>138</v>
      </c>
      <c r="J172" s="219"/>
      <c r="K172" s="219"/>
      <c r="L172" s="219"/>
      <c r="M172" s="219"/>
      <c r="N172" s="219"/>
      <c r="O172" t="s">
        <v>139</v>
      </c>
    </row>
    <row r="173" spans="1:15" hidden="1" x14ac:dyDescent="0.3"/>
    <row r="174" spans="1:15" hidden="1" x14ac:dyDescent="0.3"/>
    <row r="175" spans="1:15" hidden="1" x14ac:dyDescent="0.3">
      <c r="A175" s="219" t="s">
        <v>140</v>
      </c>
      <c r="B175" s="219"/>
      <c r="C175" s="219"/>
      <c r="D175" s="219"/>
      <c r="E175" s="219"/>
    </row>
    <row r="176" spans="1:15" hidden="1" x14ac:dyDescent="0.3">
      <c r="C176" s="63" t="str">
        <f>C139</f>
        <v>CV. TOHA PRATAMA</v>
      </c>
    </row>
    <row r="177" spans="3:3" hidden="1" x14ac:dyDescent="0.3">
      <c r="C177" s="63"/>
    </row>
    <row r="178" spans="3:3" hidden="1" x14ac:dyDescent="0.3">
      <c r="C178" s="63"/>
    </row>
    <row r="179" spans="3:3" hidden="1" x14ac:dyDescent="0.3">
      <c r="C179" s="63"/>
    </row>
    <row r="180" spans="3:3" hidden="1" x14ac:dyDescent="0.3">
      <c r="C180" s="63"/>
    </row>
    <row r="181" spans="3:3" hidden="1" x14ac:dyDescent="0.3">
      <c r="C181" s="63" t="str">
        <f t="shared" ref="C181:C182" si="2">C144</f>
        <v>ANDI NUR FAISAL, ST</v>
      </c>
    </row>
    <row r="182" spans="3:3" hidden="1" x14ac:dyDescent="0.3">
      <c r="C182" s="63" t="str">
        <f t="shared" si="2"/>
        <v>Direktur</v>
      </c>
    </row>
    <row r="183" spans="3:3" hidden="1" x14ac:dyDescent="0.3"/>
  </sheetData>
  <mergeCells count="40">
    <mergeCell ref="A7:O12"/>
    <mergeCell ref="A1:O1"/>
    <mergeCell ref="I17:O17"/>
    <mergeCell ref="J18:N18"/>
    <mergeCell ref="J19:N19"/>
    <mergeCell ref="A13:O14"/>
    <mergeCell ref="J24:N24"/>
    <mergeCell ref="A27:E27"/>
    <mergeCell ref="A36:O36"/>
    <mergeCell ref="A42:O47"/>
    <mergeCell ref="A50:O51"/>
    <mergeCell ref="J98:N98"/>
    <mergeCell ref="I54:O54"/>
    <mergeCell ref="J55:N55"/>
    <mergeCell ref="J56:N56"/>
    <mergeCell ref="J61:N61"/>
    <mergeCell ref="A79:O84"/>
    <mergeCell ref="A87:O88"/>
    <mergeCell ref="I91:O91"/>
    <mergeCell ref="J92:N92"/>
    <mergeCell ref="J93:N93"/>
    <mergeCell ref="A64:E64"/>
    <mergeCell ref="A73:O73"/>
    <mergeCell ref="A161:O162"/>
    <mergeCell ref="A101:E101"/>
    <mergeCell ref="A110:O110"/>
    <mergeCell ref="A116:O121"/>
    <mergeCell ref="A124:O125"/>
    <mergeCell ref="I128:O128"/>
    <mergeCell ref="J129:N129"/>
    <mergeCell ref="J130:N130"/>
    <mergeCell ref="J135:N135"/>
    <mergeCell ref="A138:E138"/>
    <mergeCell ref="A147:O147"/>
    <mergeCell ref="A153:O158"/>
    <mergeCell ref="I165:O165"/>
    <mergeCell ref="J166:N166"/>
    <mergeCell ref="J167:N167"/>
    <mergeCell ref="J172:N172"/>
    <mergeCell ref="A175:E175"/>
  </mergeCells>
  <pageMargins left="1.43" right="0.99" top="1.34" bottom="1.22" header="0.3" footer="1.2"/>
  <pageSetup paperSize="9" orientation="portrait" horizontalDpi="300" verticalDpi="300" r:id="rId1"/>
  <rowBreaks count="5" manualBreakCount="5">
    <brk id="35" max="14" man="1"/>
    <brk id="72" max="14" man="1"/>
    <brk id="109" max="14" man="1"/>
    <brk id="146" max="14" man="1"/>
    <brk id="183" max="14" man="1"/>
  </rowBreaks>
  <colBreaks count="1" manualBreakCount="1">
    <brk id="15" max="250"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6:P35"/>
  <sheetViews>
    <sheetView view="pageBreakPreview" topLeftCell="A16" zoomScaleNormal="145" zoomScaleSheetLayoutView="100" workbookViewId="0">
      <selection activeCell="B23" sqref="B23"/>
    </sheetView>
  </sheetViews>
  <sheetFormatPr defaultRowHeight="14.4" x14ac:dyDescent="0.3"/>
  <cols>
    <col min="1" max="15" width="4.6640625" customWidth="1"/>
    <col min="16" max="16" width="5.109375" customWidth="1"/>
    <col min="17" max="39" width="4.6640625" customWidth="1"/>
  </cols>
  <sheetData>
    <row r="6" spans="1:16" x14ac:dyDescent="0.3">
      <c r="I6" s="225" t="s">
        <v>141</v>
      </c>
      <c r="J6" s="225"/>
      <c r="K6" s="225"/>
      <c r="L6" s="225"/>
      <c r="M6" s="225"/>
      <c r="N6" s="225"/>
      <c r="O6" s="225"/>
      <c r="P6" s="225"/>
    </row>
    <row r="7" spans="1:16" x14ac:dyDescent="0.3">
      <c r="A7" t="s">
        <v>142</v>
      </c>
      <c r="C7" s="57" t="s">
        <v>35</v>
      </c>
      <c r="D7" t="s">
        <v>146</v>
      </c>
    </row>
    <row r="8" spans="1:16" x14ac:dyDescent="0.3">
      <c r="A8" t="s">
        <v>143</v>
      </c>
      <c r="C8" s="57" t="s">
        <v>35</v>
      </c>
      <c r="D8" t="s">
        <v>147</v>
      </c>
    </row>
    <row r="10" spans="1:16" x14ac:dyDescent="0.3">
      <c r="A10" t="s">
        <v>144</v>
      </c>
    </row>
    <row r="11" spans="1:16" x14ac:dyDescent="0.3">
      <c r="A11" t="s">
        <v>145</v>
      </c>
    </row>
    <row r="12" spans="1:16" x14ac:dyDescent="0.3">
      <c r="A12" t="s">
        <v>148</v>
      </c>
    </row>
    <row r="13" spans="1:16" x14ac:dyDescent="0.3">
      <c r="B13" t="s">
        <v>149</v>
      </c>
    </row>
    <row r="15" spans="1:16" ht="15" customHeight="1" x14ac:dyDescent="0.3">
      <c r="A15" s="64" t="s">
        <v>150</v>
      </c>
      <c r="C15" s="220" t="s">
        <v>151</v>
      </c>
      <c r="D15" s="220"/>
      <c r="E15" s="220"/>
      <c r="F15" s="220"/>
      <c r="G15" s="220"/>
      <c r="H15" s="220"/>
      <c r="I15" s="220"/>
      <c r="J15" s="220"/>
      <c r="K15" s="220"/>
      <c r="L15" s="220"/>
      <c r="M15" s="220"/>
      <c r="N15" s="220"/>
      <c r="O15" s="220"/>
      <c r="P15" s="220"/>
    </row>
    <row r="16" spans="1:16" x14ac:dyDescent="0.3">
      <c r="C16" s="220"/>
      <c r="D16" s="220"/>
      <c r="E16" s="220"/>
      <c r="F16" s="220"/>
      <c r="G16" s="220"/>
      <c r="H16" s="220"/>
      <c r="I16" s="220"/>
      <c r="J16" s="220"/>
      <c r="K16" s="220"/>
      <c r="L16" s="220"/>
      <c r="M16" s="220"/>
      <c r="N16" s="220"/>
      <c r="O16" s="220"/>
      <c r="P16" s="220"/>
    </row>
    <row r="17" spans="1:16" x14ac:dyDescent="0.3">
      <c r="C17" s="220"/>
      <c r="D17" s="220"/>
      <c r="E17" s="220"/>
      <c r="F17" s="220"/>
      <c r="G17" s="220"/>
      <c r="H17" s="220"/>
      <c r="I17" s="220"/>
      <c r="J17" s="220"/>
      <c r="K17" s="220"/>
      <c r="L17" s="220"/>
      <c r="M17" s="220"/>
      <c r="N17" s="220"/>
      <c r="O17" s="220"/>
      <c r="P17" s="220"/>
    </row>
    <row r="19" spans="1:16" ht="173.25" customHeight="1" x14ac:dyDescent="0.3">
      <c r="A19" s="220" t="s">
        <v>152</v>
      </c>
      <c r="B19" s="220"/>
      <c r="C19" s="220"/>
      <c r="D19" s="220"/>
      <c r="E19" s="220"/>
      <c r="F19" s="220"/>
      <c r="G19" s="220"/>
      <c r="H19" s="220"/>
      <c r="I19" s="220"/>
      <c r="J19" s="220"/>
      <c r="K19" s="220"/>
      <c r="L19" s="220"/>
      <c r="M19" s="220"/>
      <c r="N19" s="220"/>
      <c r="O19" s="220"/>
      <c r="P19" s="220"/>
    </row>
    <row r="20" spans="1:16" ht="66.75" customHeight="1" x14ac:dyDescent="0.3">
      <c r="A20" s="220" t="s">
        <v>153</v>
      </c>
      <c r="B20" s="220"/>
      <c r="C20" s="220"/>
      <c r="D20" s="220"/>
      <c r="E20" s="220"/>
      <c r="F20" s="220"/>
      <c r="G20" s="220"/>
      <c r="H20" s="220"/>
      <c r="I20" s="220"/>
      <c r="J20" s="220"/>
      <c r="K20" s="220"/>
      <c r="L20" s="220"/>
      <c r="M20" s="220"/>
      <c r="N20" s="220"/>
      <c r="O20" s="220"/>
      <c r="P20" s="220"/>
    </row>
    <row r="21" spans="1:16" ht="36" customHeight="1" x14ac:dyDescent="0.3">
      <c r="A21" s="226" t="s">
        <v>155</v>
      </c>
      <c r="B21" s="226"/>
      <c r="C21" s="226"/>
      <c r="D21" s="226"/>
      <c r="E21" s="226"/>
      <c r="F21" s="226"/>
      <c r="G21" s="226"/>
      <c r="H21" s="226"/>
      <c r="I21" s="226"/>
      <c r="J21" s="226"/>
      <c r="K21" s="226"/>
      <c r="L21" s="226"/>
      <c r="M21" s="226"/>
      <c r="N21" s="226"/>
      <c r="O21" s="226"/>
      <c r="P21" s="226"/>
    </row>
    <row r="22" spans="1:16" ht="33" customHeight="1" x14ac:dyDescent="0.3">
      <c r="A22" s="220" t="s">
        <v>154</v>
      </c>
      <c r="B22" s="220"/>
      <c r="C22" s="220"/>
      <c r="D22" s="220"/>
      <c r="E22" s="220"/>
      <c r="F22" s="220"/>
      <c r="G22" s="220"/>
      <c r="H22" s="220"/>
      <c r="I22" s="220"/>
      <c r="J22" s="220"/>
      <c r="K22" s="220"/>
      <c r="L22" s="220"/>
      <c r="M22" s="220"/>
      <c r="N22" s="220"/>
      <c r="O22" s="220"/>
      <c r="P22" s="220"/>
    </row>
    <row r="23" spans="1:16" x14ac:dyDescent="0.3">
      <c r="A23" s="60">
        <v>1</v>
      </c>
      <c r="B23" t="s">
        <v>156</v>
      </c>
    </row>
    <row r="24" spans="1:16" x14ac:dyDescent="0.3">
      <c r="A24" s="60">
        <v>2</v>
      </c>
      <c r="B24" t="s">
        <v>157</v>
      </c>
    </row>
    <row r="25" spans="1:16" x14ac:dyDescent="0.3">
      <c r="A25" s="60">
        <v>3</v>
      </c>
      <c r="B25" t="s">
        <v>158</v>
      </c>
    </row>
    <row r="26" spans="1:16" ht="9.75" customHeight="1" x14ac:dyDescent="0.3"/>
    <row r="27" spans="1:16" ht="35.25" customHeight="1" x14ac:dyDescent="0.3">
      <c r="A27" s="220" t="s">
        <v>159</v>
      </c>
      <c r="B27" s="220"/>
      <c r="C27" s="220"/>
      <c r="D27" s="220"/>
      <c r="E27" s="220"/>
      <c r="F27" s="220"/>
      <c r="G27" s="220"/>
      <c r="H27" s="220"/>
      <c r="I27" s="220"/>
      <c r="J27" s="220"/>
      <c r="K27" s="220"/>
      <c r="L27" s="220"/>
      <c r="M27" s="220"/>
      <c r="N27" s="220"/>
      <c r="O27" s="220"/>
      <c r="P27" s="220"/>
    </row>
    <row r="29" spans="1:16" x14ac:dyDescent="0.3">
      <c r="M29" s="65" t="str">
        <f>'pernyataan kesediaan'!C176</f>
        <v>CV. TOHA PRATAMA</v>
      </c>
    </row>
    <row r="30" spans="1:16" x14ac:dyDescent="0.3">
      <c r="M30" s="65"/>
    </row>
    <row r="31" spans="1:16" x14ac:dyDescent="0.3">
      <c r="M31" s="65"/>
    </row>
    <row r="32" spans="1:16" x14ac:dyDescent="0.3">
      <c r="M32" s="65"/>
    </row>
    <row r="33" spans="13:13" x14ac:dyDescent="0.3">
      <c r="M33" s="65"/>
    </row>
    <row r="34" spans="13:13" x14ac:dyDescent="0.3">
      <c r="M34" s="66" t="str">
        <f>'pernyataan kesediaan'!C181</f>
        <v>ANDI NUR FAISAL, ST</v>
      </c>
    </row>
    <row r="35" spans="13:13" x14ac:dyDescent="0.3">
      <c r="M35" s="65" t="str">
        <f>'pernyataan kesediaan'!C182</f>
        <v>Direktur</v>
      </c>
    </row>
  </sheetData>
  <mergeCells count="7">
    <mergeCell ref="A22:P22"/>
    <mergeCell ref="A27:P27"/>
    <mergeCell ref="I6:P6"/>
    <mergeCell ref="C15:P17"/>
    <mergeCell ref="A19:P19"/>
    <mergeCell ref="A20:P20"/>
    <mergeCell ref="A21:P21"/>
  </mergeCells>
  <pageMargins left="1.25" right="0.97" top="7.0000000000000007E-2" bottom="1.21" header="0.04" footer="0.49"/>
  <pageSetup paperSize="9" scale="9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C11"/>
  <sheetViews>
    <sheetView view="pageBreakPreview" zoomScale="85" zoomScaleSheetLayoutView="85" workbookViewId="0">
      <selection activeCell="N20" sqref="N20"/>
    </sheetView>
  </sheetViews>
  <sheetFormatPr defaultRowHeight="14.4" x14ac:dyDescent="0.3"/>
  <cols>
    <col min="1" max="1" width="3.5546875" bestFit="1" customWidth="1"/>
    <col min="2" max="2" width="40" customWidth="1"/>
    <col min="3" max="3" width="32.33203125" customWidth="1"/>
  </cols>
  <sheetData>
    <row r="2" spans="1:3" x14ac:dyDescent="0.3">
      <c r="A2" s="231" t="s">
        <v>156</v>
      </c>
      <c r="B2" s="231"/>
      <c r="C2" s="231"/>
    </row>
    <row r="4" spans="1:3" x14ac:dyDescent="0.3">
      <c r="A4" s="229" t="s">
        <v>160</v>
      </c>
      <c r="B4" s="227" t="s">
        <v>161</v>
      </c>
      <c r="C4" s="67" t="s">
        <v>162</v>
      </c>
    </row>
    <row r="5" spans="1:3" x14ac:dyDescent="0.3">
      <c r="A5" s="230"/>
      <c r="B5" s="228"/>
      <c r="C5" s="68" t="s">
        <v>163</v>
      </c>
    </row>
    <row r="6" spans="1:3" ht="39.9" customHeight="1" x14ac:dyDescent="0.3">
      <c r="A6" s="69" t="s">
        <v>37</v>
      </c>
      <c r="B6" s="70" t="s">
        <v>164</v>
      </c>
      <c r="C6" s="69"/>
    </row>
    <row r="7" spans="1:3" ht="39.9" customHeight="1" x14ac:dyDescent="0.3">
      <c r="A7" s="69" t="s">
        <v>38</v>
      </c>
      <c r="B7" s="70" t="s">
        <v>165</v>
      </c>
      <c r="C7" s="69"/>
    </row>
    <row r="8" spans="1:3" ht="39.9" customHeight="1" x14ac:dyDescent="0.3">
      <c r="A8" s="69"/>
      <c r="B8" s="70" t="s">
        <v>166</v>
      </c>
      <c r="C8" s="69"/>
    </row>
    <row r="9" spans="1:3" ht="39.9" customHeight="1" x14ac:dyDescent="0.3">
      <c r="A9" s="69"/>
      <c r="B9" s="70" t="s">
        <v>167</v>
      </c>
      <c r="C9" s="69"/>
    </row>
    <row r="10" spans="1:3" ht="39.9" customHeight="1" x14ac:dyDescent="0.3">
      <c r="A10" s="69"/>
      <c r="B10" s="70" t="s">
        <v>57</v>
      </c>
      <c r="C10" s="69"/>
    </row>
    <row r="11" spans="1:3" ht="39.9" customHeight="1" x14ac:dyDescent="0.3">
      <c r="A11" s="232" t="s">
        <v>168</v>
      </c>
      <c r="B11" s="233"/>
      <c r="C11" s="234"/>
    </row>
  </sheetData>
  <mergeCells count="4">
    <mergeCell ref="B4:B5"/>
    <mergeCell ref="A4:A5"/>
    <mergeCell ref="A2:C2"/>
    <mergeCell ref="A11:C11"/>
  </mergeCells>
  <pageMargins left="1.54" right="0.7" top="1.04"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6"/>
  <sheetViews>
    <sheetView view="pageBreakPreview" zoomScale="60" workbookViewId="0">
      <selection activeCell="I12" sqref="I12"/>
    </sheetView>
  </sheetViews>
  <sheetFormatPr defaultRowHeight="14.4" x14ac:dyDescent="0.3"/>
  <cols>
    <col min="1" max="1" width="17.109375" customWidth="1"/>
    <col min="2" max="2" width="15.6640625" customWidth="1"/>
    <col min="3" max="3" width="20.44140625" customWidth="1"/>
    <col min="4" max="4" width="17.109375" customWidth="1"/>
    <col min="5" max="5" width="18.88671875" customWidth="1"/>
  </cols>
  <sheetData>
    <row r="1" spans="1:5" x14ac:dyDescent="0.3">
      <c r="A1" s="231" t="s">
        <v>157</v>
      </c>
      <c r="B1" s="231"/>
      <c r="C1" s="231"/>
      <c r="D1" s="231"/>
      <c r="E1" s="231"/>
    </row>
    <row r="3" spans="1:5" x14ac:dyDescent="0.3">
      <c r="A3" s="227" t="s">
        <v>44</v>
      </c>
      <c r="B3" s="227" t="s">
        <v>27</v>
      </c>
      <c r="C3" s="71" t="s">
        <v>169</v>
      </c>
      <c r="D3" s="239" t="s">
        <v>170</v>
      </c>
      <c r="E3" s="239" t="s">
        <v>171</v>
      </c>
    </row>
    <row r="4" spans="1:5" x14ac:dyDescent="0.3">
      <c r="A4" s="238"/>
      <c r="B4" s="238"/>
      <c r="C4" s="72" t="s">
        <v>4</v>
      </c>
      <c r="D4" s="240"/>
      <c r="E4" s="240"/>
    </row>
    <row r="5" spans="1:5" x14ac:dyDescent="0.3">
      <c r="A5" s="228"/>
      <c r="B5" s="228"/>
      <c r="C5" s="73" t="s">
        <v>163</v>
      </c>
      <c r="D5" s="241"/>
      <c r="E5" s="241"/>
    </row>
    <row r="6" spans="1:5" x14ac:dyDescent="0.3">
      <c r="A6" s="235" t="s">
        <v>56</v>
      </c>
      <c r="B6" s="235"/>
      <c r="C6" s="235"/>
      <c r="D6" s="235"/>
      <c r="E6" s="235"/>
    </row>
    <row r="7" spans="1:5" x14ac:dyDescent="0.3">
      <c r="A7" s="74"/>
      <c r="B7" s="74"/>
      <c r="C7" s="74"/>
      <c r="D7" s="74"/>
      <c r="E7" s="74"/>
    </row>
    <row r="8" spans="1:5" x14ac:dyDescent="0.3">
      <c r="A8" s="74"/>
      <c r="B8" s="74"/>
      <c r="C8" s="74"/>
      <c r="D8" s="74"/>
      <c r="E8" s="74"/>
    </row>
    <row r="9" spans="1:5" x14ac:dyDescent="0.3">
      <c r="A9" s="74"/>
      <c r="B9" s="74"/>
      <c r="C9" s="74"/>
      <c r="D9" s="74"/>
      <c r="E9" s="74"/>
    </row>
    <row r="10" spans="1:5" x14ac:dyDescent="0.3">
      <c r="A10" s="74"/>
      <c r="B10" s="74"/>
      <c r="C10" s="74"/>
      <c r="D10" s="74"/>
      <c r="E10" s="74"/>
    </row>
    <row r="11" spans="1:5" x14ac:dyDescent="0.3">
      <c r="A11" s="74"/>
      <c r="B11" s="74"/>
      <c r="C11" s="74"/>
      <c r="D11" s="74"/>
      <c r="E11" s="74"/>
    </row>
    <row r="12" spans="1:5" x14ac:dyDescent="0.3">
      <c r="A12" s="235" t="s">
        <v>56</v>
      </c>
      <c r="B12" s="235"/>
      <c r="C12" s="235"/>
      <c r="D12" s="235"/>
      <c r="E12" s="235"/>
    </row>
    <row r="13" spans="1:5" x14ac:dyDescent="0.3">
      <c r="A13" s="74"/>
      <c r="B13" s="74"/>
      <c r="C13" s="74"/>
      <c r="D13" s="74"/>
      <c r="E13" s="74"/>
    </row>
    <row r="14" spans="1:5" x14ac:dyDescent="0.3">
      <c r="A14" s="74"/>
      <c r="B14" s="74"/>
      <c r="C14" s="74"/>
      <c r="D14" s="74"/>
      <c r="E14" s="74"/>
    </row>
    <row r="15" spans="1:5" x14ac:dyDescent="0.3">
      <c r="A15" s="236" t="s">
        <v>172</v>
      </c>
      <c r="B15" s="236"/>
      <c r="C15" s="236"/>
      <c r="D15" s="236"/>
      <c r="E15" s="237"/>
    </row>
    <row r="16" spans="1:5" x14ac:dyDescent="0.3">
      <c r="A16" s="236"/>
      <c r="B16" s="236"/>
      <c r="C16" s="236"/>
      <c r="D16" s="236"/>
      <c r="E16" s="237"/>
    </row>
  </sheetData>
  <mergeCells count="9">
    <mergeCell ref="A1:E1"/>
    <mergeCell ref="A6:E6"/>
    <mergeCell ref="A12:E12"/>
    <mergeCell ref="A15:D16"/>
    <mergeCell ref="E15:E16"/>
    <mergeCell ref="A3:A5"/>
    <mergeCell ref="B3:B5"/>
    <mergeCell ref="D3:D5"/>
    <mergeCell ref="E3:E5"/>
  </mergeCells>
  <pageMargins left="1.47" right="0.94" top="1.19" bottom="0.75" header="0.3" footer="0.3"/>
  <pageSetup scale="88"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2"/>
  <sheetViews>
    <sheetView view="pageBreakPreview" topLeftCell="A10" zoomScale="60" workbookViewId="0">
      <selection activeCell="H14" sqref="H14"/>
    </sheetView>
  </sheetViews>
  <sheetFormatPr defaultRowHeight="14.4" x14ac:dyDescent="0.3"/>
  <cols>
    <col min="1" max="1" width="14" customWidth="1"/>
    <col min="2" max="2" width="20.6640625" customWidth="1"/>
    <col min="3" max="3" width="17.6640625" customWidth="1"/>
    <col min="4" max="4" width="16.5546875" customWidth="1"/>
    <col min="5" max="5" width="15.44140625" customWidth="1"/>
    <col min="6" max="6" width="13.44140625" customWidth="1"/>
  </cols>
  <sheetData>
    <row r="1" spans="1:6" x14ac:dyDescent="0.3">
      <c r="A1" s="231" t="s">
        <v>158</v>
      </c>
      <c r="B1" s="231"/>
      <c r="C1" s="231"/>
      <c r="D1" s="231"/>
      <c r="E1" s="231"/>
      <c r="F1" s="231"/>
    </row>
    <row r="3" spans="1:6" ht="15" customHeight="1" x14ac:dyDescent="0.3">
      <c r="A3" s="244" t="s">
        <v>173</v>
      </c>
      <c r="B3" s="244" t="s">
        <v>174</v>
      </c>
      <c r="C3" s="245" t="s">
        <v>175</v>
      </c>
      <c r="D3" s="244" t="s">
        <v>176</v>
      </c>
      <c r="E3" s="244"/>
      <c r="F3" s="242" t="s">
        <v>179</v>
      </c>
    </row>
    <row r="4" spans="1:6" x14ac:dyDescent="0.3">
      <c r="A4" s="244"/>
      <c r="B4" s="244"/>
      <c r="C4" s="245"/>
      <c r="D4" s="245" t="s">
        <v>177</v>
      </c>
      <c r="E4" s="242" t="s">
        <v>178</v>
      </c>
      <c r="F4" s="242"/>
    </row>
    <row r="5" spans="1:6" x14ac:dyDescent="0.3">
      <c r="A5" s="244"/>
      <c r="B5" s="244"/>
      <c r="C5" s="245"/>
      <c r="D5" s="245"/>
      <c r="E5" s="245"/>
      <c r="F5" s="242"/>
    </row>
    <row r="6" spans="1:6" s="61" customFormat="1" ht="28.8" x14ac:dyDescent="0.3">
      <c r="A6" s="75" t="s">
        <v>180</v>
      </c>
      <c r="B6" s="75" t="s">
        <v>181</v>
      </c>
      <c r="C6" s="75"/>
      <c r="D6" s="75"/>
      <c r="E6" s="75"/>
      <c r="F6" s="75"/>
    </row>
    <row r="7" spans="1:6" s="61" customFormat="1" ht="28.8" x14ac:dyDescent="0.3">
      <c r="A7" s="75"/>
      <c r="B7" s="75" t="s">
        <v>182</v>
      </c>
      <c r="C7" s="75"/>
      <c r="D7" s="75"/>
      <c r="E7" s="75"/>
      <c r="F7" s="75"/>
    </row>
    <row r="8" spans="1:6" s="61" customFormat="1" x14ac:dyDescent="0.3">
      <c r="A8" s="75"/>
      <c r="B8" s="75" t="s">
        <v>183</v>
      </c>
      <c r="C8" s="75"/>
      <c r="D8" s="75"/>
      <c r="E8" s="75"/>
      <c r="F8" s="75"/>
    </row>
    <row r="9" spans="1:6" s="61" customFormat="1" x14ac:dyDescent="0.3">
      <c r="A9" s="75"/>
      <c r="B9" s="75" t="s">
        <v>184</v>
      </c>
      <c r="C9" s="75"/>
      <c r="D9" s="75"/>
      <c r="E9" s="75"/>
      <c r="F9" s="75"/>
    </row>
    <row r="10" spans="1:6" s="61" customFormat="1" x14ac:dyDescent="0.3">
      <c r="A10" s="75"/>
      <c r="B10" s="75" t="s">
        <v>194</v>
      </c>
      <c r="C10" s="75"/>
      <c r="D10" s="75"/>
      <c r="E10" s="75"/>
      <c r="F10" s="75"/>
    </row>
    <row r="11" spans="1:6" s="61" customFormat="1" ht="43.2" x14ac:dyDescent="0.3">
      <c r="A11" s="75" t="s">
        <v>185</v>
      </c>
      <c r="B11" s="75" t="s">
        <v>186</v>
      </c>
      <c r="C11" s="75"/>
      <c r="D11" s="75"/>
      <c r="E11" s="75"/>
      <c r="F11" s="75"/>
    </row>
    <row r="12" spans="1:6" s="61" customFormat="1" x14ac:dyDescent="0.3">
      <c r="A12" s="75"/>
      <c r="B12" s="75" t="s">
        <v>187</v>
      </c>
      <c r="C12" s="75"/>
      <c r="D12" s="75"/>
      <c r="E12" s="75"/>
      <c r="F12" s="75"/>
    </row>
    <row r="13" spans="1:6" s="61" customFormat="1" x14ac:dyDescent="0.3">
      <c r="A13" s="75"/>
      <c r="B13" s="75" t="s">
        <v>188</v>
      </c>
      <c r="C13" s="75"/>
      <c r="D13" s="75"/>
      <c r="E13" s="75"/>
      <c r="F13" s="75"/>
    </row>
    <row r="14" spans="1:6" s="61" customFormat="1" ht="28.8" x14ac:dyDescent="0.3">
      <c r="A14" s="75"/>
      <c r="B14" s="75" t="s">
        <v>195</v>
      </c>
      <c r="C14" s="75"/>
      <c r="D14" s="75"/>
      <c r="E14" s="75"/>
      <c r="F14" s="75"/>
    </row>
    <row r="15" spans="1:6" s="61" customFormat="1" ht="28.8" x14ac:dyDescent="0.3">
      <c r="A15" s="75" t="s">
        <v>189</v>
      </c>
      <c r="B15" s="75" t="s">
        <v>190</v>
      </c>
      <c r="C15" s="75"/>
      <c r="D15" s="75"/>
      <c r="E15" s="75"/>
      <c r="F15" s="75"/>
    </row>
    <row r="16" spans="1:6" s="61" customFormat="1" x14ac:dyDescent="0.3">
      <c r="A16" s="75"/>
      <c r="B16" s="75" t="s">
        <v>191</v>
      </c>
      <c r="C16" s="75"/>
      <c r="D16" s="75"/>
      <c r="E16" s="75"/>
      <c r="F16" s="75"/>
    </row>
    <row r="17" spans="1:6" s="61" customFormat="1" x14ac:dyDescent="0.3">
      <c r="A17" s="75"/>
      <c r="B17" s="75" t="s">
        <v>192</v>
      </c>
      <c r="C17" s="75"/>
      <c r="D17" s="75"/>
      <c r="E17" s="75"/>
      <c r="F17" s="75"/>
    </row>
    <row r="18" spans="1:6" s="61" customFormat="1" ht="43.2" x14ac:dyDescent="0.3">
      <c r="A18" s="75"/>
      <c r="B18" s="75" t="s">
        <v>193</v>
      </c>
      <c r="C18" s="75"/>
      <c r="D18" s="75"/>
      <c r="E18" s="75"/>
      <c r="F18" s="75"/>
    </row>
    <row r="19" spans="1:6" s="61" customFormat="1" x14ac:dyDescent="0.3">
      <c r="A19" s="75"/>
      <c r="B19" s="75" t="s">
        <v>196</v>
      </c>
      <c r="C19" s="75"/>
      <c r="D19" s="75"/>
      <c r="E19" s="75"/>
      <c r="F19" s="75"/>
    </row>
    <row r="20" spans="1:6" s="61" customFormat="1" ht="28.8" x14ac:dyDescent="0.3">
      <c r="A20" s="75" t="s">
        <v>197</v>
      </c>
      <c r="B20" s="75"/>
      <c r="C20" s="75"/>
      <c r="D20" s="75"/>
      <c r="E20" s="75"/>
      <c r="F20" s="75"/>
    </row>
    <row r="21" spans="1:6" s="61" customFormat="1" x14ac:dyDescent="0.3">
      <c r="A21" s="243" t="s">
        <v>172</v>
      </c>
      <c r="B21" s="243"/>
      <c r="C21" s="243"/>
      <c r="D21" s="243"/>
      <c r="E21" s="243"/>
      <c r="F21" s="75"/>
    </row>
    <row r="22" spans="1:6" s="61" customFormat="1" x14ac:dyDescent="0.3"/>
  </sheetData>
  <mergeCells count="9">
    <mergeCell ref="F3:F5"/>
    <mergeCell ref="A21:E21"/>
    <mergeCell ref="A1:F1"/>
    <mergeCell ref="A3:A5"/>
    <mergeCell ref="B3:B5"/>
    <mergeCell ref="C3:C5"/>
    <mergeCell ref="D3:E3"/>
    <mergeCell ref="D4:D5"/>
    <mergeCell ref="E4:E5"/>
  </mergeCells>
  <pageMargins left="1.1100000000000001" right="0.3" top="1.05" bottom="0.75" header="0.3" footer="0.3"/>
  <pageSetup scale="94"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Daftar Pengalaman Kerja</vt:lpstr>
      <vt:lpstr>Uraian Pengalaman</vt:lpstr>
      <vt:lpstr>jadwal pelaksanaan</vt:lpstr>
      <vt:lpstr>komposisi tim</vt:lpstr>
      <vt:lpstr>Jadwal Penugasan</vt:lpstr>
      <vt:lpstr>riwayat hidup personil</vt:lpstr>
      <vt:lpstr>pernyataan kesediaan</vt:lpstr>
      <vt:lpstr>S. Pnwrn Biaya</vt:lpstr>
      <vt:lpstr>Rekapitulasi Pnwrn Biaya</vt:lpstr>
      <vt:lpstr>R. Biaya Langsung Personil</vt:lpstr>
      <vt:lpstr>R. Biaya Langsung Non-Personil</vt:lpstr>
      <vt:lpstr>'riwayat hidup personil'!_ftnref1</vt:lpstr>
      <vt:lpstr>'Daftar Pengalaman Kerja'!Print_Area</vt:lpstr>
      <vt:lpstr>'jadwal pelaksanaan'!Print_Area</vt:lpstr>
      <vt:lpstr>'Jadwal Penugasan'!Print_Area</vt:lpstr>
      <vt:lpstr>'komposisi tim'!Print_Area</vt:lpstr>
      <vt:lpstr>'pernyataan kesediaan'!Print_Area</vt:lpstr>
      <vt:lpstr>'R. Biaya Langsung Non-Personil'!Print_Area</vt:lpstr>
      <vt:lpstr>'R. Biaya Langsung Personil'!Print_Area</vt:lpstr>
      <vt:lpstr>'Rekapitulasi Pnwrn Biaya'!Print_Area</vt:lpstr>
      <vt:lpstr>'riwayat hidup personil'!Print_Area</vt:lpstr>
      <vt:lpstr>'S. Pnwrn Biaya'!Print_Area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Windows7</dc:creator>
  <cp:lastModifiedBy>Asus</cp:lastModifiedBy>
  <cp:lastPrinted>2022-04-21T01:28:46Z</cp:lastPrinted>
  <dcterms:created xsi:type="dcterms:W3CDTF">2012-04-14T03:48:21Z</dcterms:created>
  <dcterms:modified xsi:type="dcterms:W3CDTF">2024-02-20T23:52:15Z</dcterms:modified>
</cp:coreProperties>
</file>